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Master Backlog" sheetId="2" state="visible" r:id="rId2"/>
    <sheet name="Surface Inventory" sheetId="3" state="visible" r:id="rId3"/>
    <sheet name="Motion &amp; A11y" sheetId="4" state="visible" r:id="rId4"/>
    <sheet name="Rollout Gates" sheetId="5" state="visible" r:id="rId5"/>
  </sheets>
  <definedNames>
    <definedName name="_xlnm.Print_Titles" localSheetId="1">'Master Backlog'!$1:$6</definedName>
    <definedName name="_xlnm.Print_Area" localSheetId="1">'Master Backlog'!$A$1:$P$62</definedName>
    <definedName name="_xlnm.Print_Titles" localSheetId="2">'Surface Inventory'!$1:$6</definedName>
    <definedName name="_xlnm.Print_Area" localSheetId="2">'Surface Inventory'!$A$1:$K$41</definedName>
    <definedName name="_xlnm.Print_Titles" localSheetId="3">'Motion &amp; A11y'!$1:$6</definedName>
    <definedName name="_xlnm.Print_Area" localSheetId="3">'Motion &amp; A11y'!$A$1:$J$31</definedName>
    <definedName name="_xlnm.Print_Titles" localSheetId="4">'Rollout Gates'!$1:$6</definedName>
    <definedName name="_xlnm.Print_Area" localSheetId="4">'Rollout Gates'!$A$1:$G$12</definedName>
  </definedNames>
  <calcPr calcId="124519" calcMode="auto" fullCalcOnLoad="1" forceFullCalc="1"/>
</workbook>
</file>

<file path=xl/styles.xml><?xml version="1.0" encoding="utf-8"?>
<styleSheet xmlns="http://schemas.openxmlformats.org/spreadsheetml/2006/main">
  <numFmts count="0"/>
  <fonts count="25">
    <font>
      <name val="Calibri"/>
      <family val="2"/>
      <color theme="1"/>
      <sz val="11"/>
      <scheme val="minor"/>
    </font>
    <font>
      <name val="Aptos Display"/>
      <b val="1"/>
      <color rgb="00FFFFFF"/>
      <sz val="20"/>
    </font>
    <font>
      <name val="Aptos"/>
      <color rgb="00D6DCEC"/>
      <sz val="10"/>
    </font>
    <font>
      <name val="Aptos"/>
      <b val="1"/>
      <color rgb="004C3FC0"/>
      <sz val="9"/>
      <u val="single"/>
    </font>
    <font>
      <name val="Aptos Display"/>
      <b val="1"/>
      <color rgb="006C5CE7"/>
      <sz val="23"/>
    </font>
    <font>
      <name val="Aptos"/>
      <b val="1"/>
      <color rgb="00667085"/>
      <sz val="8.5"/>
    </font>
    <font>
      <name val="Aptos Display"/>
      <b val="1"/>
      <color rgb="00B4233C"/>
      <sz val="23"/>
    </font>
    <font>
      <name val="Aptos Display"/>
      <b val="1"/>
      <color rgb="004C3FC0"/>
      <sz val="23"/>
    </font>
    <font>
      <name val="Aptos Display"/>
      <b val="1"/>
      <color rgb="004A7DFF"/>
      <sz val="23"/>
    </font>
    <font>
      <name val="Aptos Display"/>
      <b val="1"/>
      <color rgb="000F766E"/>
      <sz val="23"/>
    </font>
    <font>
      <name val="Aptos Display"/>
      <b val="1"/>
      <color rgb="007A3E8E"/>
      <sz val="23"/>
    </font>
    <font>
      <name val="Aptos"/>
      <b val="1"/>
      <color rgb="00B4233C"/>
      <sz val="9"/>
    </font>
    <font>
      <name val="Aptos"/>
      <b val="1"/>
      <color rgb="004C3FC0"/>
      <sz val="9"/>
    </font>
    <font>
      <name val="Aptos"/>
      <b val="1"/>
      <color rgb="0052606D"/>
      <sz val="9"/>
    </font>
    <font>
      <name val="Aptos"/>
      <b val="1"/>
      <color rgb="004C3FC0"/>
      <sz val="10"/>
    </font>
    <font>
      <name val="Aptos Display"/>
      <b val="1"/>
      <color rgb="00172033"/>
      <sz val="13"/>
    </font>
    <font>
      <name val="Aptos"/>
      <b val="1"/>
      <color rgb="004A7DFF"/>
      <sz val="10"/>
    </font>
    <font>
      <name val="Aptos"/>
      <color rgb="00172033"/>
      <sz val="9.5"/>
    </font>
    <font>
      <name val="Aptos"/>
      <b val="1"/>
      <color rgb="000F766E"/>
      <sz val="10"/>
    </font>
    <font>
      <name val="Aptos"/>
      <b val="1"/>
      <color rgb="00172033"/>
      <sz val="10"/>
    </font>
    <font>
      <name val="Aptos"/>
      <color rgb="00172033"/>
      <sz val="10"/>
    </font>
    <font>
      <name val="Aptos"/>
      <b val="1"/>
      <color rgb="009A6700"/>
      <sz val="10"/>
    </font>
    <font>
      <name val="Aptos"/>
      <b val="1"/>
      <color rgb="0052606D"/>
      <sz val="10"/>
    </font>
    <font>
      <name val="Aptos"/>
      <b val="1"/>
      <color rgb="00FFFFFF"/>
      <sz val="10"/>
    </font>
    <font>
      <name val="Aptos Display"/>
      <b val="1"/>
      <color rgb="00FFFFFF"/>
      <sz val="12"/>
    </font>
  </fonts>
  <fills count="15">
    <fill>
      <patternFill/>
    </fill>
    <fill>
      <patternFill patternType="gray125"/>
    </fill>
    <fill>
      <patternFill patternType="solid">
        <fgColor rgb="006C5CE7"/>
      </patternFill>
    </fill>
    <fill>
      <patternFill patternType="solid">
        <fgColor rgb="00172033"/>
      </patternFill>
    </fill>
    <fill>
      <patternFill patternType="solid">
        <fgColor rgb="00F6F7FB"/>
      </patternFill>
    </fill>
    <fill>
      <patternFill patternType="solid">
        <fgColor rgb="00FFFFFF"/>
      </patternFill>
    </fill>
    <fill>
      <patternFill patternType="solid">
        <fgColor rgb="00FDE7EB"/>
      </patternFill>
    </fill>
    <fill>
      <patternFill patternType="solid">
        <fgColor rgb="00EEEAFE"/>
      </patternFill>
    </fill>
    <fill>
      <patternFill patternType="solid">
        <fgColor rgb="00EEF1F6"/>
      </patternFill>
    </fill>
    <fill>
      <patternFill patternType="solid">
        <fgColor rgb="00EAF1FF"/>
      </patternFill>
    </fill>
    <fill>
      <patternFill patternType="solid">
        <fgColor rgb="00E7F7F3"/>
      </patternFill>
    </fill>
    <fill>
      <patternFill patternType="solid">
        <fgColor rgb="00FFF3D6"/>
      </patternFill>
    </fill>
    <fill>
      <patternFill patternType="solid">
        <fgColor rgb="0025314A"/>
      </patternFill>
    </fill>
    <fill>
      <patternFill patternType="solid">
        <fgColor rgb="00FFF9DF"/>
      </patternFill>
    </fill>
    <fill>
      <patternFill patternType="solid">
        <fgColor rgb="00FAFBFE"/>
      </patternFill>
    </fill>
  </fills>
  <borders count="15">
    <border>
      <left/>
      <right/>
      <top/>
      <bottom/>
      <diagonal/>
    </border>
    <border>
      <left style="thin">
        <color rgb="00E3E7EF"/>
      </left>
      <right style="thin">
        <color rgb="00E3E7EF"/>
      </right>
      <top style="thin">
        <color rgb="00E3E7EF"/>
      </top>
    </border>
    <border>
      <left style="thin">
        <color rgb="00E3E7EF"/>
      </left>
      <right style="thin">
        <color rgb="00E3E7EF"/>
      </right>
      <bottom style="medium">
        <color rgb="006C5CE7"/>
      </bottom>
    </border>
    <border>
      <left style="thin">
        <color rgb="00E3E7EF"/>
      </left>
      <right style="thin">
        <color rgb="00E3E7EF"/>
      </right>
      <bottom style="medium">
        <color rgb="00B4233C"/>
      </bottom>
    </border>
    <border>
      <left style="thin">
        <color rgb="00E3E7EF"/>
      </left>
      <right style="thin">
        <color rgb="00E3E7EF"/>
      </right>
      <bottom style="medium">
        <color rgb="004C3FC0"/>
      </bottom>
    </border>
    <border>
      <left style="thin">
        <color rgb="00E3E7EF"/>
      </left>
      <right style="thin">
        <color rgb="00E3E7EF"/>
      </right>
      <bottom style="medium">
        <color rgb="004A7DFF"/>
      </bottom>
    </border>
    <border>
      <left style="thin">
        <color rgb="00E3E7EF"/>
      </left>
      <right style="thin">
        <color rgb="00E3E7EF"/>
      </right>
      <bottom style="medium">
        <color rgb="000F766E"/>
      </bottom>
    </border>
    <border>
      <left style="thin">
        <color rgb="00E3E7EF"/>
      </left>
      <right style="thin">
        <color rgb="00E3E7EF"/>
      </right>
      <bottom style="medium">
        <color rgb="007A3E8E"/>
      </bottom>
    </border>
    <border>
      <bottom style="thin">
        <color rgb="00E3E7EF"/>
      </bottom>
    </border>
    <border>
      <left/>
      <right/>
      <top/>
      <bottom style="thin">
        <color rgb="00E3E7EF"/>
      </bottom>
      <diagonal/>
    </border>
    <border>
      <left style="medium">
        <color rgb="006C5CE7"/>
      </left>
      <right style="thin">
        <color rgb="00E3E7EF"/>
      </right>
      <top style="thin">
        <color rgb="00E3E7EF"/>
      </top>
      <bottom style="thin">
        <color rgb="00E3E7EF"/>
      </bottom>
    </border>
    <border>
      <left style="thin">
        <color rgb="00E3E7EF"/>
      </left>
      <right style="thin">
        <color rgb="00E3E7EF"/>
      </right>
      <top style="thin">
        <color rgb="00E3E7EF"/>
      </top>
      <bottom style="thin">
        <color rgb="00E3E7EF"/>
      </bottom>
    </border>
    <border>
      <top style="thin">
        <color rgb="00E3E7EF"/>
      </top>
      <bottom style="thin">
        <color rgb="00E3E7EF"/>
      </bottom>
    </border>
    <border>
      <bottom style="medium">
        <color rgb="006C5CE7"/>
      </bottom>
    </border>
    <border>
      <top style="medium">
        <color rgb="006C5CE7"/>
      </top>
      <bottom style="medium">
        <color rgb="006C5CE7"/>
      </bottom>
    </border>
  </borders>
  <cellStyleXfs count="1">
    <xf numFmtId="0" fontId="0" fillId="0" borderId="0"/>
  </cellStyleXfs>
  <cellXfs count="46">
    <xf numFmtId="0" fontId="0" fillId="0" borderId="0" pivotButton="0" quotePrefix="0" xfId="0"/>
    <xf numFmtId="0" fontId="0" fillId="2" borderId="0" pivotButton="0" quotePrefix="0" xfId="0"/>
    <xf numFmtId="0" fontId="1" fillId="3" borderId="0" applyAlignment="1" pivotButton="0" quotePrefix="0" xfId="0">
      <alignment vertical="center"/>
    </xf>
    <xf numFmtId="0" fontId="2" fillId="3" borderId="0" applyAlignment="1" pivotButton="0" quotePrefix="0" xfId="0">
      <alignment vertical="center" wrapText="1"/>
    </xf>
    <xf numFmtId="0" fontId="3" fillId="4" borderId="0" applyAlignment="1" pivotButton="0" quotePrefix="0" xfId="0">
      <alignment vertical="center"/>
    </xf>
    <xf numFmtId="0" fontId="0" fillId="4" borderId="0" pivotButton="0" quotePrefix="0" xfId="0"/>
    <xf numFmtId="0" fontId="4" fillId="5" borderId="1" applyAlignment="1" pivotButton="0" quotePrefix="0" xfId="0">
      <alignment horizontal="center" vertical="center"/>
    </xf>
    <xf numFmtId="0" fontId="6" fillId="5" borderId="1" applyAlignment="1" pivotButton="0" quotePrefix="0" xfId="0">
      <alignment horizontal="center" vertical="center"/>
    </xf>
    <xf numFmtId="0" fontId="7" fillId="5" borderId="1" applyAlignment="1" pivotButton="0" quotePrefix="0" xfId="0">
      <alignment horizontal="center" vertical="center"/>
    </xf>
    <xf numFmtId="0" fontId="8" fillId="5" borderId="1" applyAlignment="1" pivotButton="0" quotePrefix="0" xfId="0">
      <alignment horizontal="center" vertical="center"/>
    </xf>
    <xf numFmtId="0" fontId="9" fillId="5" borderId="1" applyAlignment="1" pivotButton="0" quotePrefix="0" xfId="0">
      <alignment horizontal="center" vertical="center"/>
    </xf>
    <xf numFmtId="0" fontId="10" fillId="5" borderId="1" applyAlignment="1" pivotButton="0" quotePrefix="0" xfId="0">
      <alignment horizontal="center" vertical="center"/>
    </xf>
    <xf numFmtId="0" fontId="5" fillId="5" borderId="2" applyAlignment="1" pivotButton="0" quotePrefix="0" xfId="0">
      <alignment horizontal="center" vertical="center"/>
    </xf>
    <xf numFmtId="0" fontId="5" fillId="5" borderId="3" applyAlignment="1" pivotButton="0" quotePrefix="0" xfId="0">
      <alignment horizontal="center" vertical="center"/>
    </xf>
    <xf numFmtId="0" fontId="5" fillId="5" borderId="4" applyAlignment="1" pivotButton="0" quotePrefix="0" xfId="0">
      <alignment horizontal="center" vertical="center"/>
    </xf>
    <xf numFmtId="0" fontId="5" fillId="5" borderId="5" applyAlignment="1" pivotButton="0" quotePrefix="0" xfId="0">
      <alignment horizontal="center" vertical="center"/>
    </xf>
    <xf numFmtId="0" fontId="5" fillId="5" borderId="6" applyAlignment="1" pivotButton="0" quotePrefix="0" xfId="0">
      <alignment horizontal="center" vertical="center"/>
    </xf>
    <xf numFmtId="0" fontId="5" fillId="5" borderId="7" applyAlignment="1" pivotButton="0" quotePrefix="0" xfId="0">
      <alignment horizontal="center" vertical="center"/>
    </xf>
    <xf numFmtId="0" fontId="11" fillId="6" borderId="8" applyAlignment="1" pivotButton="0" quotePrefix="0" xfId="0">
      <alignment horizontal="center"/>
    </xf>
    <xf numFmtId="0" fontId="0" fillId="0" borderId="9" pivotButton="0" quotePrefix="0" xfId="0"/>
    <xf numFmtId="0" fontId="12" fillId="7" borderId="8" applyAlignment="1" pivotButton="0" quotePrefix="0" xfId="0">
      <alignment horizontal="center"/>
    </xf>
    <xf numFmtId="0" fontId="13" fillId="8" borderId="8" applyAlignment="1" pivotButton="0" quotePrefix="0" xfId="0">
      <alignment horizontal="center"/>
    </xf>
    <xf numFmtId="0" fontId="14" fillId="7" borderId="0" applyAlignment="1" pivotButton="0" quotePrefix="0" xfId="0">
      <alignment vertical="center"/>
    </xf>
    <xf numFmtId="0" fontId="16" fillId="9" borderId="0" applyAlignment="1" pivotButton="0" quotePrefix="0" xfId="0">
      <alignment vertical="center"/>
    </xf>
    <xf numFmtId="0" fontId="15" fillId="5" borderId="10" applyAlignment="1" pivotButton="0" quotePrefix="0" xfId="0">
      <alignment vertical="center" wrapText="1"/>
    </xf>
    <xf numFmtId="0" fontId="17" fillId="5" borderId="11" applyAlignment="1" pivotButton="0" quotePrefix="0" xfId="0">
      <alignment vertical="center" wrapText="1"/>
    </xf>
    <xf numFmtId="0" fontId="18" fillId="10" borderId="0" applyAlignment="1" pivotButton="0" quotePrefix="0" xfId="0">
      <alignment vertical="center"/>
    </xf>
    <xf numFmtId="0" fontId="17" fillId="5" borderId="11" applyAlignment="1" pivotButton="0" quotePrefix="0" xfId="0">
      <alignment vertical="top" wrapText="1"/>
    </xf>
    <xf numFmtId="0" fontId="14" fillId="7" borderId="0" pivotButton="0" quotePrefix="0" xfId="0"/>
    <xf numFmtId="0" fontId="21" fillId="11" borderId="0" pivotButton="0" quotePrefix="0" xfId="0"/>
    <xf numFmtId="0" fontId="19" fillId="5" borderId="8" applyAlignment="1" pivotButton="0" quotePrefix="0" xfId="0">
      <alignment vertical="center"/>
    </xf>
    <xf numFmtId="9" fontId="19" fillId="7" borderId="8" applyAlignment="1" pivotButton="0" quotePrefix="0" xfId="0">
      <alignment vertical="center"/>
    </xf>
    <xf numFmtId="0" fontId="20" fillId="7" borderId="8" applyAlignment="1" pivotButton="0" quotePrefix="0" xfId="0">
      <alignment vertical="center"/>
    </xf>
    <xf numFmtId="0" fontId="20" fillId="5" borderId="8" applyAlignment="1" pivotButton="0" quotePrefix="0" xfId="0">
      <alignment vertical="center"/>
    </xf>
    <xf numFmtId="0" fontId="22" fillId="8" borderId="0" pivotButton="0" quotePrefix="0" xfId="0"/>
    <xf numFmtId="0" fontId="18" fillId="10" borderId="12" applyAlignment="1" pivotButton="0" quotePrefix="0" xfId="0">
      <alignment horizontal="center" vertical="center"/>
    </xf>
    <xf numFmtId="0" fontId="23" fillId="12" borderId="13" applyAlignment="1" pivotButton="0" quotePrefix="0" xfId="0">
      <alignment vertical="center" wrapText="1"/>
    </xf>
    <xf numFmtId="0" fontId="17" fillId="5" borderId="8" applyAlignment="1" pivotButton="0" quotePrefix="0" xfId="0">
      <alignment horizontal="left" vertical="top"/>
    </xf>
    <xf numFmtId="0" fontId="17" fillId="5" borderId="8" applyAlignment="1" pivotButton="0" quotePrefix="0" xfId="0">
      <alignment horizontal="left" vertical="top" wrapText="1"/>
    </xf>
    <xf numFmtId="0" fontId="17" fillId="9" borderId="8" applyAlignment="1" pivotButton="0" quotePrefix="0" xfId="0">
      <alignment horizontal="left" vertical="top" wrapText="1"/>
    </xf>
    <xf numFmtId="0" fontId="17" fillId="8" borderId="8" applyAlignment="1" pivotButton="0" quotePrefix="0" xfId="0">
      <alignment horizontal="left" vertical="top" wrapText="1"/>
    </xf>
    <xf numFmtId="0" fontId="17" fillId="13" borderId="8" applyAlignment="1" pivotButton="0" quotePrefix="0" xfId="0">
      <alignment horizontal="left" vertical="top" wrapText="1"/>
    </xf>
    <xf numFmtId="0" fontId="17" fillId="14" borderId="8" applyAlignment="1" pivotButton="0" quotePrefix="0" xfId="0">
      <alignment horizontal="left" vertical="top"/>
    </xf>
    <xf numFmtId="0" fontId="17" fillId="14" borderId="8" applyAlignment="1" pivotButton="0" quotePrefix="0" xfId="0">
      <alignment horizontal="left" vertical="top" wrapText="1"/>
    </xf>
    <xf numFmtId="0" fontId="17" fillId="11" borderId="8" applyAlignment="1" pivotButton="0" quotePrefix="0" xfId="0">
      <alignment horizontal="left" vertical="top" wrapText="1"/>
    </xf>
    <xf numFmtId="0" fontId="24" fillId="2" borderId="14" applyAlignment="1" pivotButton="0" quotePrefix="0" xfId="0">
      <alignment horizontal="center" vertical="center"/>
    </xf>
  </cellXfs>
  <cellStyles count="1">
    <cellStyle name="Normal" xfId="0" builtinId="0" hidden="0"/>
  </cellStyles>
  <dxfs count="7">
    <dxf>
      <font>
        <name val="Aptos"/>
        <b val="1"/>
        <color rgb="00B4233C"/>
      </font>
      <fill>
        <patternFill patternType="solid">
          <fgColor rgb="00FDE7EB"/>
        </patternFill>
      </fill>
    </dxf>
    <dxf>
      <font>
        <name val="Aptos"/>
        <b val="1"/>
        <color rgb="004C3FC0"/>
      </font>
      <fill>
        <patternFill patternType="solid">
          <fgColor rgb="00EEEAFE"/>
        </patternFill>
      </fill>
    </dxf>
    <dxf>
      <font>
        <name val="Aptos"/>
        <b val="1"/>
        <color rgb="0052606D"/>
      </font>
      <fill>
        <patternFill patternType="solid">
          <fgColor rgb="00EEF1F6"/>
        </patternFill>
      </fill>
    </dxf>
    <dxf>
      <font>
        <name val="Aptos"/>
        <b val="1"/>
        <color rgb="000F766E"/>
      </font>
      <fill>
        <patternFill patternType="solid">
          <fgColor rgb="00E7F7F3"/>
        </patternFill>
      </fill>
    </dxf>
    <dxf>
      <font>
        <name val="Aptos"/>
        <b val="1"/>
        <color rgb="009A6700"/>
      </font>
      <fill>
        <patternFill patternType="solid">
          <fgColor rgb="00FFF3D6"/>
        </patternFill>
      </fill>
    </dxf>
    <dxf>
      <font>
        <name val="Aptos"/>
        <b val="1"/>
        <color rgb="004A7DFF"/>
      </font>
      <fill>
        <patternFill patternType="solid">
          <fgColor rgb="00EAF1FF"/>
        </patternFill>
      </fill>
    </dxf>
    <dxf>
      <font>
        <name val="Aptos"/>
        <b val="1"/>
        <color rgb="007A3E8E"/>
      </font>
      <fill>
        <patternFill patternType="solid">
          <fgColor rgb="00F3EA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Geraldine Audit</author>
  </authors>
  <commentList>
    <comment ref="O6" authorId="0" shapeId="0">
      <text>
        <t>Editable. Choose a review status from the dropdown.</t>
      </text>
    </comment>
    <comment ref="P6" authorId="0" shapeId="0">
      <text>
        <t>Editable. Add rationale, questions, or implementation notes.</t>
      </text>
    </comment>
  </commentList>
</comments>
</file>

<file path=xl/comments/comment2.xml><?xml version="1.0" encoding="utf-8"?>
<comments xmlns="http://schemas.openxmlformats.org/spreadsheetml/2006/main">
  <authors>
    <author>Geraldine Audit</author>
  </authors>
  <commentList>
    <comment ref="J6" authorId="0" shapeId="0">
      <text>
        <t>Editable. Track whether this surface has sufficient visual/runtime evidence.</t>
      </text>
    </comment>
    <comment ref="K6" authorId="0" shapeId="0">
      <text>
        <t>Editable. Record the capture needed or the verification result.</t>
      </text>
    </comment>
  </commentList>
</comments>
</file>

<file path=xl/comments/comment3.xml><?xml version="1.0" encoding="utf-8"?>
<comments xmlns="http://schemas.openxmlformats.org/spreadsheetml/2006/main">
  <authors>
    <author>Geraldine Audit</author>
  </authors>
  <commentList>
    <comment ref="I6" authorId="0" shapeId="0">
      <text>
        <t>Editable. Review this focused motion/accessibility proposal.</t>
      </text>
    </comment>
    <comment ref="J6" authorId="0" shapeId="0">
      <text>
        <t>Editable. Add acceptance criteria or implementation notes.</t>
      </text>
    </comment>
  </commentList>
</comments>
</file>

<file path=xl/comments/comment4.xml><?xml version="1.0" encoding="utf-8"?>
<comments xmlns="http://schemas.openxmlformats.org/spreadsheetml/2006/main">
  <authors>
    <author>Geraldine Audit</author>
  </authors>
  <commentList>
    <comment ref="F6" authorId="0" shapeId="0">
      <text>
        <t>Editable. Approve a gate only when its success proof is accepted.</t>
      </text>
    </comment>
    <comment ref="G6" authorId="0" shapeId="0">
      <text>
        <t>Editable. Record steering, caveats, or changes required before approval.</t>
      </text>
    </comment>
  </commentList>
</comments>
</file>

<file path=xl/tables/table1.xml><?xml version="1.0" encoding="utf-8"?>
<table xmlns="http://schemas.openxmlformats.org/spreadsheetml/2006/main" id="1" name="tblBacklog" displayName="tblBacklog" ref="A6:P62" headerRowCount="1">
  <autoFilter ref="A6:P62"/>
  <tableColumns count="16">
    <tableColumn id="1" name="ID"/>
    <tableColumn id="2" name="Phase"/>
    <tableColumn id="3" name="Area"/>
    <tableColumn id="4" name="Surface"/>
    <tableColumn id="5" name="Priority"/>
    <tableColumn id="6" name="Impact"/>
    <tableColumn id="7" name="Effort"/>
    <tableColumn id="8" name="Risk"/>
    <tableColumn id="9" name="Before"/>
    <tableColumn id="10" name="After"/>
    <tableColumn id="11" name="Flourish"/>
    <tableColumn id="12" name="Preserve / Guardrail"/>
    <tableColumn id="13" name="Evidence"/>
    <tableColumn id="14" name="Proof"/>
    <tableColumn id="15" name="Decision · INPUT"/>
    <tableColumn id="16" name="Review Note · INPUT"/>
  </tableColumns>
  <tableStyleInfo name="TableStyleLight1" showFirstColumn="0" showLastColumn="0" showRowStripes="0" showColumnStripes="0"/>
</table>
</file>

<file path=xl/tables/table2.xml><?xml version="1.0" encoding="utf-8"?>
<table xmlns="http://schemas.openxmlformats.org/spreadsheetml/2006/main" id="2" name="tblSurfaces" displayName="tblSurfaces" ref="A6:K41" headerRowCount="1">
  <autoFilter ref="A6:K41"/>
  <tableColumns count="11">
    <tableColumn id="1" name="ID"/>
    <tableColumn id="2" name="Domain"/>
    <tableColumn id="3" name="Surface"/>
    <tableColumn id="4" name="States"/>
    <tableColumn id="5" name="Current Character"/>
    <tableColumn id="6" name="Runtime Coverage"/>
    <tableColumn id="7" name="Opportunity"/>
    <tableColumn id="8" name="Evidence"/>
    <tableColumn id="9" name="Verify Next"/>
    <tableColumn id="10" name="Verification Status · INPUT"/>
    <tableColumn id="11" name="Verification Note · INPUT"/>
  </tableColumns>
  <tableStyleInfo name="TableStyleLight1" showFirstColumn="0" showLastColumn="0" showRowStripes="0" showColumnStripes="0"/>
</table>
</file>

<file path=xl/tables/table3.xml><?xml version="1.0" encoding="utf-8"?>
<table xmlns="http://schemas.openxmlformats.org/spreadsheetml/2006/main" id="3" name="tblMotionA11y" displayName="tblMotionA11y" ref="A6:J31" headerRowCount="1">
  <autoFilter ref="A6:J31"/>
  <tableColumns count="10">
    <tableColumn id="1" name="ID"/>
    <tableColumn id="2" name="Priority"/>
    <tableColumn id="3" name="Surface"/>
    <tableColumn id="4" name="Before"/>
    <tableColumn id="5" name="After"/>
    <tableColumn id="6" name="Effort"/>
    <tableColumn id="7" name="Risk / Guardrail"/>
    <tableColumn id="8" name="Evidence"/>
    <tableColumn id="9" name="Decision · INPUT"/>
    <tableColumn id="10" name="Review Note · INPUT"/>
  </tableColumns>
  <tableStyleInfo name="TableStyleLight1" showFirstColumn="0" showLastColumn="0" showRowStripes="0" showColumnStripes="0"/>
</table>
</file>

<file path=xl/tables/table4.xml><?xml version="1.0" encoding="utf-8"?>
<table xmlns="http://schemas.openxmlformats.org/spreadsheetml/2006/main" id="4" name="tblRolloutGates" displayName="tblRolloutGates" ref="A6:G12" headerRowCount="1">
  <autoFilter ref="A6:G12"/>
  <tableColumns count="7">
    <tableColumn id="1" name="Gate"/>
    <tableColumn id="2" name="Name"/>
    <tableColumn id="3" name="Scope"/>
    <tableColumn id="4" name="Depends On"/>
    <tableColumn id="5" name="Success Proof"/>
    <tableColumn id="6" name="Decision · INPUT"/>
    <tableColumn id="7" name="Review Note · INPUT"/>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Overview'!A1" TargetMode="External" Id="rId1" /><Relationship Type="http://schemas.openxmlformats.org/officeDocument/2006/relationships/hyperlink" Target="#'Master Backlog'!A1" TargetMode="External" Id="rId2" /><Relationship Type="http://schemas.openxmlformats.org/officeDocument/2006/relationships/hyperlink" Target="#'Surface Inventory'!A1" TargetMode="External" Id="rId3" /><Relationship Type="http://schemas.openxmlformats.org/officeDocument/2006/relationships/hyperlink" Target="#'Motion &amp; A11y'!A1" TargetMode="External" Id="rId4" /><Relationship Type="http://schemas.openxmlformats.org/officeDocument/2006/relationships/hyperlink" Target="#'Rollout Gates'!A1" TargetMode="External" Id="rId5" /></Relationships>
</file>

<file path=xl/worksheets/_rels/sheet2.xml.rels><Relationships xmlns="http://schemas.openxmlformats.org/package/2006/relationships"><Relationship Type="http://schemas.openxmlformats.org/officeDocument/2006/relationships/hyperlink" Target="#'Overview'!A1" TargetMode="External" Id="rId1" /><Relationship Type="http://schemas.openxmlformats.org/officeDocument/2006/relationships/hyperlink" Target="#'Master Backlog'!A1" TargetMode="External" Id="rId2" /><Relationship Type="http://schemas.openxmlformats.org/officeDocument/2006/relationships/hyperlink" Target="#'Surface Inventory'!A1" TargetMode="External" Id="rId3" /><Relationship Type="http://schemas.openxmlformats.org/officeDocument/2006/relationships/hyperlink" Target="#'Motion &amp; A11y'!A1" TargetMode="External" Id="rId4" /><Relationship Type="http://schemas.openxmlformats.org/officeDocument/2006/relationships/hyperlink" Target="#'Rollout Gates'!A1" TargetMode="External" Id="rId5" /><Relationship Type="http://schemas.openxmlformats.org/officeDocument/2006/relationships/table" Target="/xl/tables/table1.xm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Overview'!A1" TargetMode="External" Id="rId1" /><Relationship Type="http://schemas.openxmlformats.org/officeDocument/2006/relationships/hyperlink" Target="#'Master Backlog'!A1" TargetMode="External" Id="rId2" /><Relationship Type="http://schemas.openxmlformats.org/officeDocument/2006/relationships/hyperlink" Target="#'Surface Inventory'!A1" TargetMode="External" Id="rId3" /><Relationship Type="http://schemas.openxmlformats.org/officeDocument/2006/relationships/hyperlink" Target="#'Motion &amp; A11y'!A1" TargetMode="External" Id="rId4" /><Relationship Type="http://schemas.openxmlformats.org/officeDocument/2006/relationships/hyperlink" Target="#'Rollout Gates'!A1" TargetMode="External" Id="rId5" /><Relationship Type="http://schemas.openxmlformats.org/officeDocument/2006/relationships/table" Target="/xl/tables/table2.xml" Id="rId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Overview'!A1" TargetMode="External" Id="rId1" /><Relationship Type="http://schemas.openxmlformats.org/officeDocument/2006/relationships/hyperlink" Target="#'Master Backlog'!A1" TargetMode="External" Id="rId2" /><Relationship Type="http://schemas.openxmlformats.org/officeDocument/2006/relationships/hyperlink" Target="#'Surface Inventory'!A1" TargetMode="External" Id="rId3" /><Relationship Type="http://schemas.openxmlformats.org/officeDocument/2006/relationships/hyperlink" Target="#'Motion &amp; A11y'!A1" TargetMode="External" Id="rId4" /><Relationship Type="http://schemas.openxmlformats.org/officeDocument/2006/relationships/hyperlink" Target="#'Rollout Gates'!A1" TargetMode="External" Id="rId5" /><Relationship Type="http://schemas.openxmlformats.org/officeDocument/2006/relationships/table" Target="/xl/tables/table3.xml" Id="rId6"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hyperlink" Target="#'Overview'!A1" TargetMode="External" Id="rId1" /><Relationship Type="http://schemas.openxmlformats.org/officeDocument/2006/relationships/hyperlink" Target="#'Master Backlog'!A1" TargetMode="External" Id="rId2" /><Relationship Type="http://schemas.openxmlformats.org/officeDocument/2006/relationships/hyperlink" Target="#'Surface Inventory'!A1" TargetMode="External" Id="rId3" /><Relationship Type="http://schemas.openxmlformats.org/officeDocument/2006/relationships/hyperlink" Target="#'Motion &amp; A11y'!A1" TargetMode="External" Id="rId4" /><Relationship Type="http://schemas.openxmlformats.org/officeDocument/2006/relationships/table" Target="/xl/tables/table4.xml" Id="rId5"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006C5CE7"/>
    <outlinePr summaryBelow="1" summaryRight="1"/>
    <pageSetUpPr fitToPage="1"/>
  </sheetPr>
  <dimension ref="A1:L44"/>
  <sheetViews>
    <sheetView showGridLines="0" zoomScale="9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6" customHeight="1">
      <c r="A1" s="1" t="n"/>
    </row>
    <row r="2" ht="34" customHeight="1">
      <c r="A2" s="2" t="inlineStr">
        <is>
          <t>Geraldine Visual and Interaction Audit</t>
        </is>
      </c>
    </row>
    <row r="3" ht="28" customHeight="1">
      <c r="A3" s="3" t="inlineStr">
        <is>
          <t>A complete read-only proposal workbook · review decisions in the yellow input columns · no app code changed</t>
        </is>
      </c>
    </row>
    <row r="4" ht="22" customHeight="1">
      <c r="A4" s="4" t="inlineStr">
        <is>
          <t>Overview</t>
        </is>
      </c>
      <c r="B4" s="5" t="n"/>
      <c r="C4" s="4" t="inlineStr">
        <is>
          <t>Master Backlog</t>
        </is>
      </c>
      <c r="D4" s="5" t="n"/>
      <c r="E4" s="4" t="inlineStr">
        <is>
          <t>Surface Inventory</t>
        </is>
      </c>
      <c r="F4" s="5" t="n"/>
      <c r="G4" s="4" t="inlineStr">
        <is>
          <t>Motion &amp; A11y</t>
        </is>
      </c>
      <c r="H4" s="5" t="n"/>
      <c r="I4" s="4" t="inlineStr">
        <is>
          <t>Rollout Gates</t>
        </is>
      </c>
      <c r="J4" s="5" t="n"/>
      <c r="K4" s="5" t="n"/>
      <c r="L4" s="5" t="n"/>
    </row>
    <row r="5" ht="8" customHeight="1"/>
    <row r="7" ht="28" customHeight="1">
      <c r="A7" s="6">
        <f>COUNTA('Master Backlog'!$A$7:$A$62)</f>
        <v/>
      </c>
      <c r="C7" s="7">
        <f>COUNTIF('Master Backlog'!$E$7:$E$62,"P0")</f>
        <v/>
      </c>
      <c r="E7" s="8">
        <f>COUNTIF('Master Backlog'!$E$7:$E$62,"P1")</f>
        <v/>
      </c>
      <c r="G7" s="9">
        <f>COUNTA('Surface Inventory'!$A$7:$A$41)</f>
        <v/>
      </c>
      <c r="I7" s="10">
        <f>COUNTA('Motion &amp; A11y'!$A$7:$A$31)</f>
        <v/>
      </c>
      <c r="K7" s="11">
        <f>COUNTA('Rollout Gates'!$A$7:$A$12)</f>
        <v/>
      </c>
    </row>
    <row r="8" ht="12" customHeight="1"/>
    <row r="9" ht="20" customHeight="1">
      <c r="A9" s="12" t="inlineStr">
        <is>
          <t>PROPOSALS</t>
        </is>
      </c>
      <c r="C9" s="13" t="inlineStr">
        <is>
          <t>P0 PRIORITIES</t>
        </is>
      </c>
      <c r="E9" s="14" t="inlineStr">
        <is>
          <t>P1 PRIORITIES</t>
        </is>
      </c>
      <c r="G9" s="15" t="inlineStr">
        <is>
          <t>SURFACES</t>
        </is>
      </c>
      <c r="I9" s="16" t="inlineStr">
        <is>
          <t>MOTION + A11Y</t>
        </is>
      </c>
      <c r="K9" s="17" t="inlineStr">
        <is>
          <t>ROLLOUT GATES</t>
        </is>
      </c>
    </row>
    <row r="11" ht="18" customHeight="1">
      <c r="A11" s="18">
        <f>COUNTIF('Master Backlog'!$E$7:$E$62,"P0")&amp;" P0"</f>
        <v/>
      </c>
      <c r="B11" s="19" t="n"/>
      <c r="C11" s="19" t="n"/>
      <c r="D11" s="20">
        <f>COUNTIF('Master Backlog'!$E$7:$E$62,"P1")&amp;" P1"</f>
        <v/>
      </c>
      <c r="E11" s="19" t="n"/>
      <c r="F11" s="19" t="n"/>
      <c r="G11" s="19" t="n"/>
      <c r="H11" s="19" t="n"/>
      <c r="I11" s="19" t="n"/>
      <c r="J11" s="19" t="n"/>
      <c r="K11" s="19" t="n"/>
      <c r="L11" s="21">
        <f>COUNTIF('Master Backlog'!$E$7:$E$62,"P2")&amp;" P2"</f>
        <v/>
      </c>
    </row>
    <row r="13">
      <c r="A13" s="22" t="inlineStr">
        <is>
          <t>NORTH STAR</t>
        </is>
      </c>
      <c r="J13" s="23" t="inlineStr">
        <is>
          <t>AUDIT SNAPSHOT</t>
        </is>
      </c>
    </row>
    <row r="14">
      <c r="A14" s="24" t="inlineStr">
        <is>
          <t>A quietly alive Mac-care instrument: graphite and pearl adaptive surfaces, restrained violet-blue atmospheric light, rounded personality, data that feels responsive, and small purposeful flourishes without generic dashboard or settings-wall styling.</t>
        </is>
      </c>
      <c r="J14" s="25" t="inlineStr">
        <is>
          <t>Date · 2026-07-11
Source · 3d66c374385e
Installed · 3d66c374385e-dirty
Build · debug, built 2026-07-10T09:53:30Z
Restored to · Keep Awake</t>
        </is>
      </c>
    </row>
    <row r="15"/>
    <row r="16"/>
    <row r="17"/>
    <row r="19">
      <c r="A19" s="26" t="inlineStr">
        <is>
          <t>PRESERVE</t>
        </is>
      </c>
      <c r="E19" s="22" t="inlineStr">
        <is>
          <t>TRANSFORM</t>
        </is>
      </c>
      <c r="I19" s="23" t="inlineStr">
        <is>
          <t>REVIEW SEQUENCE</t>
        </is>
      </c>
    </row>
    <row r="20">
      <c r="A20" s="27" t="inlineStr">
        <is>
          <t>• Keep Awake eye and countdown halo
• Rolling numeric transitions in SwiftUI and the custom AppKit menu-bar renderer
• Space Lens treemap
• Timestamped live charts and compact menu-bar sparklines
• Calendar today glow and time-travel concept
• Smart Care score ring
• Violet-blue atmospheric identity and rounded display typography</t>
        </is>
      </c>
      <c r="E20" s="27" t="inlineStr">
        <is>
          <t>• Semantic design tokens and adaptive contrast
• Card tiers, layout scaffold, action hierarchy
• Hover, focus, hit areas, keyboard continuity
• Motion policy with complete Reduce Motion coverage
• Workflow state choreography and signature surfaces</t>
        </is>
      </c>
      <c r="I20" s="27" t="inlineStr">
        <is>
          <t>G0 · Foundations
G1 · Shell and continuity
G2 · Shared workflow language
G3 · Signature surfaces
G4 · Menu-bar polish
G5 · Remaining modules and onboarding</t>
        </is>
      </c>
    </row>
    <row r="21"/>
    <row r="22"/>
    <row r="23"/>
    <row r="24"/>
    <row r="25"/>
    <row r="26"/>
    <row r="27"/>
    <row r="29">
      <c r="A29" s="28" t="inlineStr">
        <is>
          <t>REVIEW PROGRESS</t>
        </is>
      </c>
      <c r="H29" s="29" t="inlineStr">
        <is>
          <t>HOW TO REVIEW</t>
        </is>
      </c>
    </row>
    <row r="30">
      <c r="A30" s="30" t="inlineStr">
        <is>
          <t>Decided</t>
        </is>
      </c>
      <c r="B30" s="31">
        <f>(COUNTIF('Master Backlog'!$O$7:$O$62,"Approve")+COUNTIF('Master Backlog'!$O$7:$O$62,"Defer")+COUNTIF('Master Backlog'!$O$7:$O$62,"Reject"))/COUNTA('Master Backlog'!$A$7:$A$62)</f>
        <v/>
      </c>
      <c r="C30" s="32" t="n"/>
      <c r="D30" s="32" t="n"/>
      <c r="E30" s="32" t="n"/>
      <c r="F30" s="32" t="n"/>
      <c r="H30" s="27" t="inlineStr">
        <is>
          <t>1. Start with Rollout Gates and approve the direction.
2. Filter Master Backlog by Priority, Phase, or Surface.
3. Use the yellow Decision and Review Note columns.
4. Record remaining visual proof in Surface Inventory.
5. Treat Motion &amp; A11y guardrails as acceptance criteria.</t>
        </is>
      </c>
    </row>
    <row r="31">
      <c r="A31" s="30" t="inlineStr">
        <is>
          <t>Gates approved</t>
        </is>
      </c>
      <c r="B31" s="30">
        <f>COUNTIF('Rollout Gates'!$F$7:$F$12,"Approve")&amp;" / "&amp;COUNTA('Rollout Gates'!$A$7:$A$12)</f>
        <v/>
      </c>
      <c r="C31" s="33" t="n"/>
      <c r="D31" s="33" t="n"/>
      <c r="E31" s="33" t="n"/>
      <c r="F31" s="33" t="n"/>
    </row>
    <row r="32"/>
    <row r="33"/>
    <row r="34"/>
    <row r="36">
      <c r="A36" s="34" t="inlineStr">
        <is>
          <t>SCOPE + LIMITATIONS</t>
        </is>
      </c>
    </row>
    <row r="37">
      <c r="A37" s="27" t="inlineStr">
        <is>
          <t>Complete read-only sweep of the current working tree and the installed /Applications/Geraldine.app across app shell, 18 modules, onboarding, native Settings, menu-bar surfaces, sheets, dialogs, conditional states, motion, accessibility, and performance.
Remaining verification matrix: Installed app was visually inspected in dark mode. Menu-bar status-item accessibility was not reliably discoverable, so that surface retains a mandatory live-verification flag. Light mode, Increased Contrast, Reduce Motion, VoiceOver, battery hardware, failure branches, and all destructive confirmations remain verification-matrix items.</t>
        </is>
      </c>
    </row>
    <row r="38"/>
    <row r="39"/>
    <row r="40"/>
    <row r="41"/>
    <row r="42"/>
    <row r="44" ht="24" customHeight="1">
      <c r="A44" s="35" t="inlineStr">
        <is>
          <t>CODE CHANGED BY THIS AUDIT · NO</t>
        </is>
      </c>
    </row>
  </sheetData>
  <mergeCells count="35">
    <mergeCell ref="H29:L29"/>
    <mergeCell ref="K9:L9"/>
    <mergeCell ref="B31:F31"/>
    <mergeCell ref="A19:D19"/>
    <mergeCell ref="A3:L3"/>
    <mergeCell ref="I19:L19"/>
    <mergeCell ref="H30:L34"/>
    <mergeCell ref="A2:L2"/>
    <mergeCell ref="K7:L8"/>
    <mergeCell ref="J14:L17"/>
    <mergeCell ref="C7:D8"/>
    <mergeCell ref="E7:F8"/>
    <mergeCell ref="D11:K11"/>
    <mergeCell ref="E20:H27"/>
    <mergeCell ref="A14:H17"/>
    <mergeCell ref="C9:D9"/>
    <mergeCell ref="E9:F9"/>
    <mergeCell ref="A29:F29"/>
    <mergeCell ref="A44:L44"/>
    <mergeCell ref="E19:H19"/>
    <mergeCell ref="B30:F30"/>
    <mergeCell ref="G7:H8"/>
    <mergeCell ref="A11:C11"/>
    <mergeCell ref="I7:J8"/>
    <mergeCell ref="A7:B8"/>
    <mergeCell ref="J13:L13"/>
    <mergeCell ref="A1:L1"/>
    <mergeCell ref="A37:L42"/>
    <mergeCell ref="A36:L36"/>
    <mergeCell ref="A20:D27"/>
    <mergeCell ref="A13:H13"/>
    <mergeCell ref="I20:L27"/>
    <mergeCell ref="A9:B9"/>
    <mergeCell ref="G9:H9"/>
    <mergeCell ref="I9:J9"/>
  </mergeCells>
  <hyperlinks>
    <hyperlink xmlns:r="http://schemas.openxmlformats.org/officeDocument/2006/relationships" ref="A4" r:id="rId1"/>
    <hyperlink xmlns:r="http://schemas.openxmlformats.org/officeDocument/2006/relationships" ref="C4" r:id="rId2"/>
    <hyperlink xmlns:r="http://schemas.openxmlformats.org/officeDocument/2006/relationships" ref="E4" r:id="rId3"/>
    <hyperlink xmlns:r="http://schemas.openxmlformats.org/officeDocument/2006/relationships" ref="G4" r:id="rId4"/>
    <hyperlink xmlns:r="http://schemas.openxmlformats.org/officeDocument/2006/relationships" ref="I4" r:id="rId5"/>
  </hyperlinks>
  <pageMargins left="0.25" right="0.25" top="0.4" bottom="0.4" header="0.5" footer="0.5"/>
  <pageSetup fitToHeight="0" fitToWidth="1"/>
  <headerFooter>
    <oddHeader>&amp;C&amp;9 &amp;K667085Geraldine Visual Audit</oddHeader>
    <oddFooter>&amp;LRead-only audit · no app code changed&amp;RPage &amp;P of &amp;N</oddFooter>
    <evenHeader/>
    <evenFooter/>
    <firstHeader/>
    <firstFooter/>
  </headerFooter>
</worksheet>
</file>

<file path=xl/worksheets/sheet2.xml><?xml version="1.0" encoding="utf-8"?>
<worksheet xmlns="http://schemas.openxmlformats.org/spreadsheetml/2006/main">
  <sheetPr>
    <tabColor rgb="006C5CE7"/>
    <outlinePr summaryBelow="1" summaryRight="1"/>
    <pageSetUpPr fitToPage="1"/>
  </sheetPr>
  <dimension ref="A1:P62"/>
  <sheetViews>
    <sheetView showGridLines="0" zoomScale="80" workbookViewId="0">
      <pane xSplit="4" ySplit="6" topLeftCell="E7" activePane="bottomRight" state="frozen"/>
      <selection pane="topRight" activeCell="A1" sqref="A1"/>
      <selection pane="bottomLeft"/>
      <selection pane="bottomRight" activeCell="A1" sqref="A1"/>
    </sheetView>
  </sheetViews>
  <sheetFormatPr baseColWidth="8" defaultRowHeight="15"/>
  <cols>
    <col width="11" customWidth="1" min="1" max="1"/>
    <col width="15" customWidth="1" min="2" max="2"/>
    <col width="20" customWidth="1" min="3" max="3"/>
    <col width="24" customWidth="1" min="4" max="4"/>
    <col width="9" customWidth="1" min="5" max="5"/>
    <col width="10" customWidth="1" min="6" max="6"/>
    <col width="8" customWidth="1" min="7" max="7"/>
    <col width="10" customWidth="1" min="8" max="8"/>
    <col width="44" customWidth="1" min="9" max="9"/>
    <col width="46" customWidth="1" min="10" max="10"/>
    <col width="40" customWidth="1" min="11" max="11"/>
    <col width="38" customWidth="1" min="12" max="12"/>
    <col width="36" customWidth="1" min="13" max="13"/>
    <col width="18" customWidth="1" min="14" max="14"/>
    <col width="13" customWidth="1" min="15" max="15"/>
    <col width="38" customWidth="1" min="16" max="16"/>
  </cols>
  <sheetData>
    <row r="1" ht="6" customHeight="1">
      <c r="A1" s="1" t="n"/>
    </row>
    <row r="2" ht="34" customHeight="1">
      <c r="A2" s="2" t="inlineStr">
        <is>
          <t>Master Backlog</t>
        </is>
      </c>
    </row>
    <row r="3" ht="28" customHeight="1">
      <c r="A3" s="3" t="inlineStr">
        <is>
          <t>Every proposal, its evidence, intended finish, flourish, guardrail, proof status, and editable review decision</t>
        </is>
      </c>
    </row>
    <row r="4" ht="22" customHeight="1">
      <c r="A4" s="4" t="inlineStr">
        <is>
          <t>Overview</t>
        </is>
      </c>
      <c r="B4" s="5" t="n"/>
      <c r="C4" s="4" t="inlineStr">
        <is>
          <t>Master Backlog</t>
        </is>
      </c>
      <c r="D4" s="5" t="n"/>
      <c r="E4" s="4" t="inlineStr">
        <is>
          <t>Surface Inventory</t>
        </is>
      </c>
      <c r="F4" s="5" t="n"/>
      <c r="G4" s="4" t="inlineStr">
        <is>
          <t>Motion &amp; A11y</t>
        </is>
      </c>
      <c r="H4" s="5" t="n"/>
      <c r="I4" s="4" t="inlineStr">
        <is>
          <t>Rollout Gates</t>
        </is>
      </c>
      <c r="J4" s="5" t="n"/>
      <c r="K4" s="5" t="n"/>
      <c r="L4" s="5" t="n"/>
      <c r="M4" s="5" t="n"/>
      <c r="N4" s="5" t="n"/>
      <c r="O4" s="5" t="n"/>
      <c r="P4" s="5" t="n"/>
    </row>
    <row r="5" ht="8" customHeight="1"/>
    <row r="6" ht="32" customHeight="1">
      <c r="A6" s="36" t="inlineStr">
        <is>
          <t>ID</t>
        </is>
      </c>
      <c r="B6" s="36" t="inlineStr">
        <is>
          <t>Phase</t>
        </is>
      </c>
      <c r="C6" s="36" t="inlineStr">
        <is>
          <t>Area</t>
        </is>
      </c>
      <c r="D6" s="36" t="inlineStr">
        <is>
          <t>Surface</t>
        </is>
      </c>
      <c r="E6" s="36" t="inlineStr">
        <is>
          <t>Priority</t>
        </is>
      </c>
      <c r="F6" s="36" t="inlineStr">
        <is>
          <t>Impact</t>
        </is>
      </c>
      <c r="G6" s="36" t="inlineStr">
        <is>
          <t>Effort</t>
        </is>
      </c>
      <c r="H6" s="36" t="inlineStr">
        <is>
          <t>Risk</t>
        </is>
      </c>
      <c r="I6" s="36" t="inlineStr">
        <is>
          <t>Before</t>
        </is>
      </c>
      <c r="J6" s="36" t="inlineStr">
        <is>
          <t>After</t>
        </is>
      </c>
      <c r="K6" s="36" t="inlineStr">
        <is>
          <t>Flourish</t>
        </is>
      </c>
      <c r="L6" s="36" t="inlineStr">
        <is>
          <t>Preserve / Guardrail</t>
        </is>
      </c>
      <c r="M6" s="36" t="inlineStr">
        <is>
          <t>Evidence</t>
        </is>
      </c>
      <c r="N6" s="36" t="inlineStr">
        <is>
          <t>Proof</t>
        </is>
      </c>
      <c r="O6" s="36" t="inlineStr">
        <is>
          <t>Decision · INPUT</t>
        </is>
      </c>
      <c r="P6" s="36" t="inlineStr">
        <is>
          <t>Review Note · INPUT</t>
        </is>
      </c>
    </row>
    <row r="7" ht="54" customHeight="1">
      <c r="A7" s="37" t="inlineStr">
        <is>
          <t>FND-01</t>
        </is>
      </c>
      <c r="B7" s="37" t="inlineStr">
        <is>
          <t>Foundation</t>
        </is>
      </c>
      <c r="C7" s="37" t="inlineStr">
        <is>
          <t>Design system</t>
        </is>
      </c>
      <c r="D7" s="38" t="inlineStr">
        <is>
          <t>Semantic tokens</t>
        </is>
      </c>
      <c r="E7" s="38" t="inlineStr">
        <is>
          <t>P0</t>
        </is>
      </c>
      <c r="F7" s="38" t="inlineStr">
        <is>
          <t>High</t>
        </is>
      </c>
      <c r="G7" s="38" t="inlineStr">
        <is>
          <t>M</t>
        </is>
      </c>
      <c r="H7" s="38" t="inlineStr">
        <is>
          <t>Medium</t>
        </is>
      </c>
      <c r="I7" s="38" t="inlineStr">
        <is>
          <t>Theme defines five colors, one gradient, one corner radius, and a rounded font helper; spacing, surfaces, typography, shadows, and motion remain local literals.</t>
        </is>
      </c>
      <c r="J7" s="39" t="inlineStr">
        <is>
          <t>Create appearance-aware tokens for foregrounds, decorative fills, surfaces, spacing, radii, type roles, shadows, focus, and motion before polishing screens individually.</t>
        </is>
      </c>
      <c r="K7" s="38" t="inlineStr">
        <is>
          <t>Tokens enable consistent atmospheric light and interruption-safe motion without making every module identical.</t>
        </is>
      </c>
      <c r="L7" s="40" t="inlineStr">
        <is>
          <t>Keep the violet-blue identity, rounded personality, and existing module hues.</t>
        </is>
      </c>
      <c r="M7" s="38" t="inlineStr">
        <is>
          <t>Sources/Geraldine/DesignSystem/Theme.swift:3-33</t>
        </is>
      </c>
      <c r="N7" s="38" t="inlineStr">
        <is>
          <t>Source verified</t>
        </is>
      </c>
      <c r="O7" s="41" t="inlineStr">
        <is>
          <t>Review</t>
        </is>
      </c>
      <c r="P7" s="41" t="inlineStr"/>
    </row>
    <row r="8" ht="54" customHeight="1">
      <c r="A8" s="42" t="inlineStr">
        <is>
          <t>FND-02</t>
        </is>
      </c>
      <c r="B8" s="42" t="inlineStr">
        <is>
          <t>Foundation</t>
        </is>
      </c>
      <c r="C8" s="42" t="inlineStr">
        <is>
          <t>Accessibility</t>
        </is>
      </c>
      <c r="D8" s="43" t="inlineStr">
        <is>
          <t>Light-mode contrast</t>
        </is>
      </c>
      <c r="E8" s="43" t="inlineStr">
        <is>
          <t>P0</t>
        </is>
      </c>
      <c r="F8" s="43" t="inlineStr">
        <is>
          <t>High</t>
        </is>
      </c>
      <c r="G8" s="43" t="inlineStr">
        <is>
          <t>M</t>
        </is>
      </c>
      <c r="H8" s="43" t="inlineStr">
        <is>
          <t>Low</t>
        </is>
      </c>
      <c r="I8" s="43" t="inlineStr">
        <is>
          <t>Static status and brand colors are reused for small foreground text; several fall below comfortable light-mode contrast.</t>
        </is>
      </c>
      <c r="J8" s="39" t="inlineStr">
        <is>
          <t>Split each hue into decorative fill, strong foreground, dark-mode foreground, and disabled roles so the hue survives while captions and pills remain readable.</t>
        </is>
      </c>
      <c r="K8" s="43" t="inlineStr">
        <is>
          <t>Status color can become a quiet wash plus a crisp label instead of relying on saturated text alone.</t>
        </is>
      </c>
      <c r="L8" s="40" t="inlineStr">
        <is>
          <t>Do not flatten all statuses into system gray.</t>
        </is>
      </c>
      <c r="M8" s="43" t="inlineStr">
        <is>
          <t>Sources/Geraldine/DesignSystem/Theme.swift:5-11; Sources/Geraldine/Features/Permissions/PermissionsView.swift:39-52</t>
        </is>
      </c>
      <c r="N8" s="43" t="inlineStr">
        <is>
          <t>Source verified; light-mode runtime pending</t>
        </is>
      </c>
      <c r="O8" s="41" t="inlineStr">
        <is>
          <t>Review</t>
        </is>
      </c>
      <c r="P8" s="41" t="inlineStr"/>
    </row>
    <row r="9" ht="54" customHeight="1">
      <c r="A9" s="37" t="inlineStr">
        <is>
          <t>FND-03</t>
        </is>
      </c>
      <c r="B9" s="37" t="inlineStr">
        <is>
          <t>Foundation</t>
        </is>
      </c>
      <c r="C9" s="37" t="inlineStr">
        <is>
          <t>Design system</t>
        </is>
      </c>
      <c r="D9" s="38" t="inlineStr">
        <is>
          <t>Palette ownership</t>
        </is>
      </c>
      <c r="E9" s="38" t="inlineStr">
        <is>
          <t>P1</t>
        </is>
      </c>
      <c r="F9" s="38" t="inlineStr">
        <is>
          <t>Medium</t>
        </is>
      </c>
      <c r="G9" s="38" t="inlineStr">
        <is>
          <t>M</t>
        </is>
      </c>
      <c r="H9" s="38" t="inlineStr">
        <is>
          <t>Low</t>
        </is>
      </c>
      <c r="I9" s="38" t="inlineStr">
        <is>
          <t>Module and chart colors are hard-coded in multiple files, allowing palette drift.</t>
        </is>
      </c>
      <c r="J9" s="39" t="inlineStr">
        <is>
          <t>Centralize one named Geraldine spectrum with semantic module, chart, status, and surface roles.</t>
        </is>
      </c>
      <c r="K9" s="38" t="inlineStr">
        <is>
          <t>Module colors can tint background auras and chart heads consistently.</t>
        </is>
      </c>
      <c r="L9" s="40" t="inlineStr">
        <is>
          <t>Retain per-module recognition rather than collapsing everything into brand purple.</t>
        </is>
      </c>
      <c r="M9" s="38" t="inlineStr">
        <is>
          <t>Sources/Geraldine/Navigation/Module.swift:71-90; Sources/Geraldine/MenuBar/MetricChartStyle.swift:23-37</t>
        </is>
      </c>
      <c r="N9" s="38" t="inlineStr">
        <is>
          <t>Source verified</t>
        </is>
      </c>
      <c r="O9" s="41" t="inlineStr">
        <is>
          <t>Review</t>
        </is>
      </c>
      <c r="P9" s="41" t="inlineStr"/>
    </row>
    <row r="10" ht="54" customHeight="1">
      <c r="A10" s="42" t="inlineStr">
        <is>
          <t>FND-04</t>
        </is>
      </c>
      <c r="B10" s="42" t="inlineStr">
        <is>
          <t>Foundation</t>
        </is>
      </c>
      <c r="C10" s="42" t="inlineStr">
        <is>
          <t>Surfaces</t>
        </is>
      </c>
      <c r="D10" s="43" t="inlineStr">
        <is>
          <t>Card tiers</t>
        </is>
      </c>
      <c r="E10" s="43" t="inlineStr">
        <is>
          <t>P0</t>
        </is>
      </c>
      <c r="F10" s="43" t="inlineStr">
        <is>
          <t>High</t>
        </is>
      </c>
      <c r="G10" s="43" t="inlineStr">
        <is>
          <t>M</t>
        </is>
      </c>
      <c r="H10" s="43" t="inlineStr">
        <is>
          <t>Medium</t>
        </is>
      </c>
      <c r="I10" s="43" t="inlineStr">
        <is>
          <t>Forty-three .card() calls resolve to the same ultra-thin material, 16-point radius, hairline, and black shadow, making modules visually repetitive.</t>
        </is>
      </c>
      <c r="J10" s="39" t="inlineStr">
        <is>
          <t>Create three tiers: atmospheric hero, standard information surface, and dense interactive tile. Use module light sparingly on heroes; keep dense surfaces quiet.</t>
        </is>
      </c>
      <c r="K10" s="43" t="inlineStr">
        <is>
          <t>Actionable tiles gain a restrained hover lift while static cards remain still.</t>
        </is>
      </c>
      <c r="L10" s="40" t="inlineStr">
        <is>
          <t>Keep translucency and macOS material integration.</t>
        </is>
      </c>
      <c r="M10" s="43" t="inlineStr">
        <is>
          <t>Sources/Geraldine/DesignSystem/Components.swift:30-48</t>
        </is>
      </c>
      <c r="N10" s="43" t="inlineStr">
        <is>
          <t>Source and installed app verified</t>
        </is>
      </c>
      <c r="O10" s="41" t="inlineStr">
        <is>
          <t>Review</t>
        </is>
      </c>
      <c r="P10" s="41" t="inlineStr"/>
    </row>
    <row r="11" ht="54" customHeight="1">
      <c r="A11" s="37" t="inlineStr">
        <is>
          <t>FND-05</t>
        </is>
      </c>
      <c r="B11" s="37" t="inlineStr">
        <is>
          <t>Foundation</t>
        </is>
      </c>
      <c r="C11" s="37" t="inlineStr">
        <is>
          <t>Surfaces</t>
        </is>
      </c>
      <c r="D11" s="38" t="inlineStr">
        <is>
          <t>Adaptive depth and transparency</t>
        </is>
      </c>
      <c r="E11" s="38" t="inlineStr">
        <is>
          <t>P1</t>
        </is>
      </c>
      <c r="F11" s="38" t="inlineStr">
        <is>
          <t>Medium</t>
        </is>
      </c>
      <c r="G11" s="38" t="inlineStr">
        <is>
          <t>M</t>
        </is>
      </c>
      <c r="H11" s="38" t="inlineStr">
        <is>
          <t>Low</t>
        </is>
      </c>
      <c r="I11" s="38" t="inlineStr">
        <is>
          <t>The shared card always uses a black shadow, which loses depth in dark mode; reduced-transparency fallbacks are not authored.</t>
        </is>
      </c>
      <c r="J11" s="39" t="inlineStr">
        <is>
          <t>Use appearance-aware highlight rings, ambient shadow, and opaque fallbacks for Reduce Transparency and high-contrast contexts.</t>
        </is>
      </c>
      <c r="K11" s="38" t="inlineStr">
        <is>
          <t>Depth comes from quiet inner light and ambient separation rather than visible borders everywhere.</t>
        </is>
      </c>
      <c r="L11" s="40" t="inlineStr">
        <is>
          <t>Dividers and accessible input outlines remain true borders where needed.</t>
        </is>
      </c>
      <c r="M11" s="38" t="inlineStr">
        <is>
          <t>Sources/Geraldine/DesignSystem/Components.swift:37-42; Sources/Geraldine/Features/SpaceLens/SpaceLensView.swift:133-160</t>
        </is>
      </c>
      <c r="N11" s="38" t="inlineStr">
        <is>
          <t>Source verified; accessibility modes pending</t>
        </is>
      </c>
      <c r="O11" s="41" t="inlineStr">
        <is>
          <t>Review</t>
        </is>
      </c>
      <c r="P11" s="41" t="inlineStr"/>
    </row>
    <row r="12" ht="54" customHeight="1">
      <c r="A12" s="42" t="inlineStr">
        <is>
          <t>FND-06</t>
        </is>
      </c>
      <c r="B12" s="42" t="inlineStr">
        <is>
          <t>Foundation</t>
        </is>
      </c>
      <c r="C12" s="42" t="inlineStr">
        <is>
          <t>Geometry</t>
        </is>
      </c>
      <c r="D12" s="43" t="inlineStr">
        <is>
          <t>Radius scale</t>
        </is>
      </c>
      <c r="E12" s="43" t="inlineStr">
        <is>
          <t>P1</t>
        </is>
      </c>
      <c r="F12" s="43" t="inlineStr">
        <is>
          <t>Medium</t>
        </is>
      </c>
      <c r="G12" s="43" t="inlineStr">
        <is>
          <t>S</t>
        </is>
      </c>
      <c r="H12" s="43" t="inlineStr">
        <is>
          <t>Low</t>
        </is>
      </c>
      <c r="I12" s="43" t="inlineStr">
        <is>
          <t>Radii from 3 to 22 points are chosen locally; nested surfaces frequently use unrelated values.</t>
        </is>
      </c>
      <c r="J12" s="39" t="inlineStr">
        <is>
          <t>Adopt a small concentric scale such as 8 control, 12 tile, 16 card, and 22 hero, adjusted by actual padding.</t>
        </is>
      </c>
      <c r="K12" s="43" t="inlineStr">
        <is>
          <t>Cleaner silhouettes make subtle material and hover changes feel more deliberate.</t>
        </is>
      </c>
      <c r="L12" s="40" t="inlineStr">
        <is>
          <t>Continuous macOS corner style.</t>
        </is>
      </c>
      <c r="M12" s="43" t="inlineStr">
        <is>
          <t>Sources/Geraldine/DesignSystem/Theme.swift:27; repository-wide cornerRadius usage</t>
        </is>
      </c>
      <c r="N12" s="43" t="inlineStr">
        <is>
          <t>Source verified</t>
        </is>
      </c>
      <c r="O12" s="41" t="inlineStr">
        <is>
          <t>Review</t>
        </is>
      </c>
      <c r="P12" s="41" t="inlineStr"/>
    </row>
    <row r="13" ht="54" customHeight="1">
      <c r="A13" s="37" t="inlineStr">
        <is>
          <t>FND-07</t>
        </is>
      </c>
      <c r="B13" s="37" t="inlineStr">
        <is>
          <t>Foundation</t>
        </is>
      </c>
      <c r="C13" s="37" t="inlineStr">
        <is>
          <t>Layout</t>
        </is>
      </c>
      <c r="D13" s="38" t="inlineStr">
        <is>
          <t>Screen scaffold</t>
        </is>
      </c>
      <c r="E13" s="38" t="inlineStr">
        <is>
          <t>P0</t>
        </is>
      </c>
      <c r="F13" s="38" t="inlineStr">
        <is>
          <t>High</t>
        </is>
      </c>
      <c r="G13" s="38" t="inlineStr">
        <is>
          <t>M</t>
        </is>
      </c>
      <c r="H13" s="38" t="inlineStr">
        <is>
          <t>Medium</t>
        </is>
      </c>
      <c r="I13" s="38" t="inlineStr">
        <is>
          <t>Module headers and content use mixed 20- and 26-point insets, inconsistent maximum widths, and independently tuned section spacing.</t>
        </is>
      </c>
      <c r="J13" s="39" t="inlineStr">
        <is>
          <t>Introduce a shared screen scaffold with one edge grid, standard section rhythm, and explicit narrow, standard, and wide content roles.</t>
        </is>
      </c>
      <c r="K13" s="38" t="inlineStr">
        <is>
          <t>A consistent scaffold allows scroll-aware header compression later without per-screen hacks.</t>
        </is>
      </c>
      <c r="L13" s="40" t="inlineStr">
        <is>
          <t>Dashboards stay fluid; text-heavy settings remain comfortably capped.</t>
        </is>
      </c>
      <c r="M13" s="38" t="inlineStr">
        <is>
          <t>Sources/Geraldine/Features/Placeholder/ModulePlaceholderView.swift:43-65; KeepAwakeView.swift:23-33; PowerToolsView.swift:22-36</t>
        </is>
      </c>
      <c r="N13" s="38" t="inlineStr">
        <is>
          <t>Source and installed app verified</t>
        </is>
      </c>
      <c r="O13" s="41" t="inlineStr">
        <is>
          <t>Review</t>
        </is>
      </c>
      <c r="P13" s="41" t="inlineStr"/>
    </row>
    <row r="14" ht="54" customHeight="1">
      <c r="A14" s="42" t="inlineStr">
        <is>
          <t>FND-08</t>
        </is>
      </c>
      <c r="B14" s="42" t="inlineStr">
        <is>
          <t>Foundation</t>
        </is>
      </c>
      <c r="C14" s="42" t="inlineStr">
        <is>
          <t>Layout</t>
        </is>
      </c>
      <c r="D14" s="43" t="inlineStr">
        <is>
          <t>Wide-window behavior</t>
        </is>
      </c>
      <c r="E14" s="43" t="inlineStr">
        <is>
          <t>P1</t>
        </is>
      </c>
      <c r="F14" s="43" t="inlineStr">
        <is>
          <t>Medium</t>
        </is>
      </c>
      <c r="G14" s="43" t="inlineStr">
        <is>
          <t>M</t>
        </is>
      </c>
      <c r="H14" s="43" t="inlineStr">
        <is>
          <t>Medium</t>
        </is>
      </c>
      <c r="I14" s="43" t="inlineStr">
        <is>
          <t>Activity, Battery, and Dashboard remain broadly unbounded while Calendar, Keep Awake, Permissions, and Power Tools independently cap content widths.</t>
        </is>
      </c>
      <c r="J14" s="39" t="inlineStr">
        <is>
          <t>Define fluid dashboard, readable utility, and focused setup widths; center unused space intentionally at large window sizes.</t>
        </is>
      </c>
      <c r="K14" s="43" t="inlineStr">
        <is>
          <t>Background auras can occupy the extra canvas while content remains readable.</t>
        </is>
      </c>
      <c r="L14" s="40" t="inlineStr">
        <is>
          <t>Do not force compact menu or table surfaces into oversized cards.</t>
        </is>
      </c>
      <c r="M14" s="43" t="inlineStr">
        <is>
          <t>Sources/Geraldine/Features/Activity/ActivityView.swift:38-70; BatteryView.swift:14-33; CalendarSettingsView.swift:6-94</t>
        </is>
      </c>
      <c r="N14" s="43" t="inlineStr">
        <is>
          <t>Source verified; expanded-window runtime pending</t>
        </is>
      </c>
      <c r="O14" s="41" t="inlineStr">
        <is>
          <t>Review</t>
        </is>
      </c>
      <c r="P14" s="41" t="inlineStr"/>
    </row>
    <row r="15" ht="54" customHeight="1">
      <c r="A15" s="37" t="inlineStr">
        <is>
          <t>FND-09</t>
        </is>
      </c>
      <c r="B15" s="37" t="inlineStr">
        <is>
          <t>Foundation</t>
        </is>
      </c>
      <c r="C15" s="37" t="inlineStr">
        <is>
          <t>Typography</t>
        </is>
      </c>
      <c r="D15" s="38" t="inlineStr">
        <is>
          <t>Type hierarchy</t>
        </is>
      </c>
      <c r="E15" s="38" t="inlineStr">
        <is>
          <t>P1</t>
        </is>
      </c>
      <c r="F15" s="38" t="inlineStr">
        <is>
          <t>High</t>
        </is>
      </c>
      <c r="G15" s="38" t="inlineStr">
        <is>
          <t>M</t>
        </is>
      </c>
      <c r="H15" s="38" t="inlineStr">
        <is>
          <t>Low</t>
        </is>
      </c>
      <c r="I15" s="38" t="inlineStr">
        <is>
          <t>Rounded type is a helper, not a hierarchy; sizes span 8 to 40 points and dense network labels become very small.</t>
        </is>
      </c>
      <c r="J15" s="39" t="inlineStr">
        <is>
          <t>Define display, page, section, body, caption, metric, and numeric styles. Use rounded design for identity and standard system text for dense explanations.</t>
        </is>
      </c>
      <c r="K15" s="38" t="inlineStr">
        <is>
          <t>Metrics retain tabular stability and numeric-roll personality while units and captions remain calm.</t>
        </is>
      </c>
      <c r="L15" s="40" t="inlineStr">
        <is>
          <t>Rounded headlines and key metrics.</t>
        </is>
      </c>
      <c r="M15" s="38" t="inlineStr">
        <is>
          <t>Sources/Geraldine/DesignSystem/Theme.swift:30-33; Sources/Geraldine/Components/NetworkTrafficChart.swift:81-130</t>
        </is>
      </c>
      <c r="N15" s="38" t="inlineStr">
        <is>
          <t>Source and installed app verified</t>
        </is>
      </c>
      <c r="O15" s="41" t="inlineStr">
        <is>
          <t>Review</t>
        </is>
      </c>
      <c r="P15" s="41" t="inlineStr"/>
    </row>
    <row r="16" ht="54" customHeight="1">
      <c r="A16" s="42" t="inlineStr">
        <is>
          <t>FND-10</t>
        </is>
      </c>
      <c r="B16" s="42" t="inlineStr">
        <is>
          <t>Foundation</t>
        </is>
      </c>
      <c r="C16" s="42" t="inlineStr">
        <is>
          <t>Components</t>
        </is>
      </c>
      <c r="D16" s="43" t="inlineStr">
        <is>
          <t>Action hierarchy</t>
        </is>
      </c>
      <c r="E16" s="43" t="inlineStr">
        <is>
          <t>P0</t>
        </is>
      </c>
      <c r="F16" s="43" t="inlineStr">
        <is>
          <t>High</t>
        </is>
      </c>
      <c r="G16" s="43" t="inlineStr">
        <is>
          <t>M</t>
        </is>
      </c>
      <c r="H16" s="43" t="inlineStr">
        <is>
          <t>Medium</t>
        </is>
      </c>
      <c r="I16" s="43" t="inlineStr">
        <is>
          <t>Custom brand and soft buttons coexist with many stock prominent, bordered, plain, and manually recreated action controls.</t>
        </is>
      </c>
      <c r="J16" s="39" t="inlineStr">
        <is>
          <t>Standardize primary, secondary, quiet, icon, destructive, inline, and busy actions with shared height, optical icon padding, focus, hover, disabled, and progress behavior.</t>
        </is>
      </c>
      <c r="K16" s="43" t="inlineStr">
        <is>
          <t>Stateful actions replace icon and label smoothly without changing width.</t>
        </is>
      </c>
      <c r="L16" s="40" t="inlineStr">
        <is>
          <t>Native destructive confirmation dialogs remain native.</t>
        </is>
      </c>
      <c r="M16" s="43" t="inlineStr">
        <is>
          <t>Sources/Geraldine/DesignSystem/Components.swift:402-462; Sources/Geraldine/Components/ScanResultsView.swift:77-103</t>
        </is>
      </c>
      <c r="N16" s="43" t="inlineStr">
        <is>
          <t>Source and installed app verified</t>
        </is>
      </c>
      <c r="O16" s="41" t="inlineStr">
        <is>
          <t>Review</t>
        </is>
      </c>
      <c r="P16" s="41" t="inlineStr"/>
    </row>
    <row r="17" ht="54" customHeight="1">
      <c r="A17" s="37" t="inlineStr">
        <is>
          <t>FND-11</t>
        </is>
      </c>
      <c r="B17" s="37" t="inlineStr">
        <is>
          <t>Foundation</t>
        </is>
      </c>
      <c r="C17" s="37" t="inlineStr">
        <is>
          <t>Interaction</t>
        </is>
      </c>
      <c r="D17" s="38" t="inlineStr">
        <is>
          <t>Hover, press, and focus</t>
        </is>
      </c>
      <c r="E17" s="38" t="inlineStr">
        <is>
          <t>P0</t>
        </is>
      </c>
      <c r="F17" s="38" t="inlineStr">
        <is>
          <t>High</t>
        </is>
      </c>
      <c r="G17" s="38" t="inlineStr">
        <is>
          <t>M</t>
        </is>
      </c>
      <c r="H17" s="38" t="inlineStr">
        <is>
          <t>Low</t>
        </is>
      </c>
      <c r="I17" s="38" t="inlineStr">
        <is>
          <t>The only shared hover implementation changes the cursor. Most actionable cards and plain buttons have no visible hover or custom keyboard-focus response.</t>
        </is>
      </c>
      <c r="J17" s="39" t="inlineStr">
        <is>
          <t>Add stable-wrapper hover light or lift, 0.96 press feedback where appropriate, and a clear module-tinted keyboard focus ring.</t>
        </is>
      </c>
      <c r="K17" s="38" t="inlineStr">
        <is>
          <t>Icons can travel one or two points or crossfade contextually while hit targets stay stationary.</t>
        </is>
      </c>
      <c r="L17" s="40" t="inlineStr">
        <is>
          <t>Static information cards must not pretend to be clickable.</t>
        </is>
      </c>
      <c r="M17" s="38" t="inlineStr">
        <is>
          <t>Sources/Geraldine/DesignSystem/Components.swift:4-27,406-435</t>
        </is>
      </c>
      <c r="N17" s="38" t="inlineStr">
        <is>
          <t>Source verified; pointer and keyboard matrix pending</t>
        </is>
      </c>
      <c r="O17" s="41" t="inlineStr">
        <is>
          <t>Review</t>
        </is>
      </c>
      <c r="P17" s="41" t="inlineStr"/>
    </row>
    <row r="18" ht="54" customHeight="1">
      <c r="A18" s="42" t="inlineStr">
        <is>
          <t>FND-12</t>
        </is>
      </c>
      <c r="B18" s="42" t="inlineStr">
        <is>
          <t>Foundation</t>
        </is>
      </c>
      <c r="C18" s="42" t="inlineStr">
        <is>
          <t>Accessibility</t>
        </is>
      </c>
      <c r="D18" s="43" t="inlineStr">
        <is>
          <t>Hit areas</t>
        </is>
      </c>
      <c r="E18" s="43" t="inlineStr">
        <is>
          <t>P0</t>
        </is>
      </c>
      <c r="F18" s="43" t="inlineStr">
        <is>
          <t>High</t>
        </is>
      </c>
      <c r="G18" s="43" t="inlineStr">
        <is>
          <t>S</t>
        </is>
      </c>
      <c r="H18" s="43" t="inlineStr">
        <is>
          <t>Low</t>
        </is>
      </c>
      <c r="I18" s="43" t="inlineStr">
        <is>
          <t>Widget controls are 18 by 18 and calendar navigation is about 22 by 22.</t>
        </is>
      </c>
      <c r="J18" s="39" t="inlineStr">
        <is>
          <t>Preserve compact visuals but extend non-overlapping interaction areas to at least 40 by 40 points.</t>
        </is>
      </c>
      <c r="K18" s="43" t="inlineStr">
        <is>
          <t>The visible icon stays delicate while hover and focus illuminate the larger target.</t>
        </is>
      </c>
      <c r="L18" s="40" t="inlineStr">
        <is>
          <t>Compact popover footprint.</t>
        </is>
      </c>
      <c r="M18" s="43" t="inlineStr">
        <is>
          <t>Sources/Geraldine/MenuBar/MetricWidgets.swift:186-216; Sources/Geraldine/Features/Calendar/CalendarPopover.swift:116-127</t>
        </is>
      </c>
      <c r="N18" s="43" t="inlineStr">
        <is>
          <t>Source verified</t>
        </is>
      </c>
      <c r="O18" s="41" t="inlineStr">
        <is>
          <t>Review</t>
        </is>
      </c>
      <c r="P18" s="41" t="inlineStr"/>
    </row>
    <row r="19" ht="54" customHeight="1">
      <c r="A19" s="37" t="inlineStr">
        <is>
          <t>FND-13</t>
        </is>
      </c>
      <c r="B19" s="37" t="inlineStr">
        <is>
          <t>Foundation</t>
        </is>
      </c>
      <c r="C19" s="37" t="inlineStr">
        <is>
          <t>Motion</t>
        </is>
      </c>
      <c r="D19" s="38" t="inlineStr">
        <is>
          <t>Motion policy</t>
        </is>
      </c>
      <c r="E19" s="38" t="inlineStr">
        <is>
          <t>P0</t>
        </is>
      </c>
      <c r="F19" s="38" t="inlineStr">
        <is>
          <t>High</t>
        </is>
      </c>
      <c r="G19" s="38" t="inlineStr">
        <is>
          <t>M</t>
        </is>
      </c>
      <c r="H19" s="38" t="inlineStr">
        <is>
          <t>Medium</t>
        </is>
      </c>
      <c r="I19" s="38" t="inlineStr">
        <is>
          <t>Twenty-seven explicit motion references use local durations and curves; interactive, state, reflow, loading, and reveal motion have no shared grammar.</t>
        </is>
      </c>
      <c r="J19" s="39" t="inlineStr">
        <is>
          <t>Create a narrow GeraldineMotion policy for press, state, navigation, reflow, one-shot reveal, and reduced variants. Scope animations locally rather than at roots.</t>
        </is>
      </c>
      <c r="K19" s="38" t="inlineStr">
        <is>
          <t>Fast tactile feedback, calm state morphs, and rare expressive reveals become recognizable without feeling bouncy.</t>
        </is>
      </c>
      <c r="L19" s="40" t="inlineStr">
        <is>
          <t>Interruption safety and the current compact menu-bar renderer.</t>
        </is>
      </c>
      <c r="M19" s="38" t="inlineStr">
        <is>
          <t>Repository-wide animation search; Sources/Geraldine/DesignSystem/Components.swift</t>
        </is>
      </c>
      <c r="N19" s="38" t="inlineStr">
        <is>
          <t>Source verified</t>
        </is>
      </c>
      <c r="O19" s="41" t="inlineStr">
        <is>
          <t>Review</t>
        </is>
      </c>
      <c r="P19" s="41" t="inlineStr"/>
    </row>
    <row r="20" ht="54" customHeight="1">
      <c r="A20" s="42" t="inlineStr">
        <is>
          <t>FND-14</t>
        </is>
      </c>
      <c r="B20" s="42" t="inlineStr">
        <is>
          <t>Foundation</t>
        </is>
      </c>
      <c r="C20" s="42" t="inlineStr">
        <is>
          <t>Accessibility</t>
        </is>
      </c>
      <c r="D20" s="43" t="inlineStr">
        <is>
          <t>Reduce Motion</t>
        </is>
      </c>
      <c r="E20" s="43" t="inlineStr">
        <is>
          <t>P0</t>
        </is>
      </c>
      <c r="F20" s="43" t="inlineStr">
        <is>
          <t>High</t>
        </is>
      </c>
      <c r="G20" s="43" t="inlineStr">
        <is>
          <t>M</t>
        </is>
      </c>
      <c r="H20" s="43" t="inlineStr">
        <is>
          <t>Medium</t>
        </is>
      </c>
      <c r="I20" s="43" t="inlineStr">
        <is>
          <t>Only the Keep Awake countdown halo checks Reduce Motion; numeric rolls, eye pulse, spinner, gauges, bars, battery fill, reflow, and the AppKit menu roll do not.</t>
        </is>
      </c>
      <c r="J20" s="39" t="inlineStr">
        <is>
          <t>Eliminate spatial travel, rolling digits, pulses, breathing, and reflow under Reduce Motion while retaining direct updates, color, focus, and stable working/success marks.</t>
        </is>
      </c>
      <c r="K20" s="43" t="inlineStr">
        <is>
          <t>Reduced mode remains designed rather than merely shortened.</t>
        </is>
      </c>
      <c r="L20" s="40" t="inlineStr">
        <is>
          <t>Never delay real state for presentation.</t>
        </is>
      </c>
      <c r="M20" s="43" t="inlineStr">
        <is>
          <t>Sources/Geraldine/MenuBar/KeepAwakeWidget.swift:455-505; Components.swift:248-399; EyeView.swift:42-83; MenuBarController.swift:316-429</t>
        </is>
      </c>
      <c r="N20" s="43" t="inlineStr">
        <is>
          <t>Source verified; Reduce Motion runtime pending</t>
        </is>
      </c>
      <c r="O20" s="41" t="inlineStr">
        <is>
          <t>Review</t>
        </is>
      </c>
      <c r="P20" s="41" t="inlineStr"/>
    </row>
    <row r="21" ht="54" customHeight="1">
      <c r="A21" s="37" t="inlineStr">
        <is>
          <t>FND-15</t>
        </is>
      </c>
      <c r="B21" s="37" t="inlineStr">
        <is>
          <t>Foundation</t>
        </is>
      </c>
      <c r="C21" s="37" t="inlineStr">
        <is>
          <t>Brand</t>
        </is>
      </c>
      <c r="D21" s="38" t="inlineStr">
        <is>
          <t>Geraldine mark and module glyphs</t>
        </is>
      </c>
      <c r="E21" s="38" t="inlineStr">
        <is>
          <t>P1</t>
        </is>
      </c>
      <c r="F21" s="38" t="inlineStr">
        <is>
          <t>High</t>
        </is>
      </c>
      <c r="G21" s="38" t="inlineStr">
        <is>
          <t>M</t>
        </is>
      </c>
      <c r="H21" s="38" t="inlineStr">
        <is>
          <t>Medium</t>
        </is>
      </c>
      <c r="I21" s="38" t="inlineStr">
        <is>
          <t>Four manual gradient squares reuse the generic sparkles symbol, while module glyph plates are independently rebuilt at multiple sizes.</t>
        </is>
      </c>
      <c r="J21" s="39" t="inlineStr">
        <is>
          <t>Create one scalable GeraldineMark and one module-glyph family with compact, standard, and hero sizes. Explore a custom G or glint constellation.</t>
        </is>
      </c>
      <c r="K21" s="38" t="inlineStr">
        <is>
          <t>Reserve a one-shot shimmer for meaningful entrances or completed care actions.</t>
        </is>
      </c>
      <c r="L21" s="40" t="inlineStr">
        <is>
          <t>Violet-blue gradient and friendly rounded character.</t>
        </is>
      </c>
      <c r="M21" s="38" t="inlineStr">
        <is>
          <t>Sources/Geraldine/Navigation/RootView.swift:46-59; MenuBar/MenuBarView.swift:53-61; Features/Onboarding/Onboarding.swift:34-45</t>
        </is>
      </c>
      <c r="N21" s="38" t="inlineStr">
        <is>
          <t>Source and installed app verified</t>
        </is>
      </c>
      <c r="O21" s="41" t="inlineStr">
        <is>
          <t>Review</t>
        </is>
      </c>
      <c r="P21" s="41" t="inlineStr"/>
    </row>
    <row r="22" ht="54" customHeight="1">
      <c r="A22" s="42" t="inlineStr">
        <is>
          <t>FND-16</t>
        </is>
      </c>
      <c r="B22" s="42" t="inlineStr">
        <is>
          <t>Foundation</t>
        </is>
      </c>
      <c r="C22" s="42" t="inlineStr">
        <is>
          <t>Selection</t>
        </is>
      </c>
      <c r="D22" s="43" t="inlineStr">
        <is>
          <t>Selected, focused, pressed, disabled grammar</t>
        </is>
      </c>
      <c r="E22" s="43" t="inlineStr">
        <is>
          <t>P1</t>
        </is>
      </c>
      <c r="F22" s="43" t="inlineStr">
        <is>
          <t>High</t>
        </is>
      </c>
      <c r="G22" s="43" t="inlineStr">
        <is>
          <t>M</t>
        </is>
      </c>
      <c r="H22" s="43" t="inlineStr">
        <is>
          <t>Low</t>
        </is>
      </c>
      <c r="I22" s="43" t="inlineStr">
        <is>
          <t>Sidebar, segments, forms, scan rows, duration cards, widget visibility, and Smart Care queues use unrelated selection cues.</t>
        </is>
      </c>
      <c r="J22" s="39" t="inlineStr">
        <is>
          <t>Define one selection grammar: edge or plate tint, contextual icon replacement, clear keyboard focus, restrained pressed state, and legible disabled treatment.</t>
        </is>
      </c>
      <c r="K22" s="43" t="inlineStr">
        <is>
          <t>Selection icons crossfade with opacity, scale, and blur while totals roll only once.</t>
        </is>
      </c>
      <c r="L22" s="40" t="inlineStr">
        <is>
          <t>Native semantics for lists, switches, radio groups, and segmented controls.</t>
        </is>
      </c>
      <c r="M22" s="43" t="inlineStr">
        <is>
          <t>Sources/Geraldine/Components/ScanResultsView.swift:42-75; KeepAwakeView.swift:98-123; MetricWidgets.swift:109-136</t>
        </is>
      </c>
      <c r="N22" s="43" t="inlineStr">
        <is>
          <t>Source and installed app verified</t>
        </is>
      </c>
      <c r="O22" s="41" t="inlineStr">
        <is>
          <t>Review</t>
        </is>
      </c>
      <c r="P22" s="41" t="inlineStr"/>
    </row>
    <row r="23" ht="54" customHeight="1">
      <c r="A23" s="37" t="inlineStr">
        <is>
          <t>SHL-01</t>
        </is>
      </c>
      <c r="B23" s="37" t="inlineStr">
        <is>
          <t>Shell</t>
        </is>
      </c>
      <c r="C23" s="37" t="inlineStr">
        <is>
          <t>Navigation</t>
        </is>
      </c>
      <c r="D23" s="38" t="inlineStr">
        <is>
          <t>Sidebar</t>
        </is>
      </c>
      <c r="E23" s="38" t="inlineStr">
        <is>
          <t>P1</t>
        </is>
      </c>
      <c r="F23" s="38" t="inlineStr">
        <is>
          <t>High</t>
        </is>
      </c>
      <c r="G23" s="38" t="inlineStr">
        <is>
          <t>M</t>
        </is>
      </c>
      <c r="H23" s="38" t="inlineStr">
        <is>
          <t>Medium</t>
        </is>
      </c>
      <c r="I23" s="38" t="inlineStr">
        <is>
          <t>The branded header and colored symbols sit inside an otherwise stock macOS sidebar; selection and hover remain native and generic.</t>
        </is>
      </c>
      <c r="J23" s="39" t="inlineStr">
        <is>
          <t>Retain native navigation semantics but add a restrained animated selection rail or soft plate, quiet icon plates, and visible hover light.</t>
        </is>
      </c>
      <c r="K23" s="38" t="inlineStr">
        <is>
          <t>Disk footer can breathe once when capacity crosses thresholds, not continuously.</t>
        </is>
      </c>
      <c r="L23" s="40" t="inlineStr">
        <is>
          <t>Keyboard navigation, native sidebar density, and grouped information architecture.</t>
        </is>
      </c>
      <c r="M23" s="38" t="inlineStr">
        <is>
          <t>Sources/Geraldine/Navigation/RootView.swift:22-104</t>
        </is>
      </c>
      <c r="N23" s="38" t="inlineStr">
        <is>
          <t>Source and installed app verified</t>
        </is>
      </c>
      <c r="O23" s="41" t="inlineStr">
        <is>
          <t>Review</t>
        </is>
      </c>
      <c r="P23" s="41" t="inlineStr"/>
    </row>
    <row r="24" ht="54" customHeight="1">
      <c r="A24" s="42" t="inlineStr">
        <is>
          <t>SHL-02</t>
        </is>
      </c>
      <c r="B24" s="42" t="inlineStr">
        <is>
          <t>Shell</t>
        </is>
      </c>
      <c r="C24" s="42" t="inlineStr">
        <is>
          <t>Navigation</t>
        </is>
      </c>
      <c r="D24" s="43" t="inlineStr">
        <is>
          <t>Module transition</t>
        </is>
      </c>
      <c r="E24" s="43" t="inlineStr">
        <is>
          <t>P0</t>
        </is>
      </c>
      <c r="F24" s="43" t="inlineStr">
        <is>
          <t>High</t>
        </is>
      </c>
      <c r="G24" s="43" t="inlineStr">
        <is>
          <t>M</t>
        </is>
      </c>
      <c r="H24" s="43" t="inlineStr">
        <is>
          <t>Medium</t>
        </is>
      </c>
      <c r="I24" s="43" t="inlineStr">
        <is>
          <t>DetailHost replaces the entire module instantly.</t>
        </is>
      </c>
      <c r="J24" s="39" t="inlineStr">
        <is>
          <t>Use a 180–220 ms directional crossfade with 6–8 points of drift tied to sidebar order and a shorter, softer exit. Retarget rapid clicks cleanly.</t>
        </is>
      </c>
      <c r="K24" s="43" t="inlineStr">
        <is>
          <t>Header and background aura can morph independently from body content.</t>
        </is>
      </c>
      <c r="L24" s="40" t="inlineStr">
        <is>
          <t>No full-window scale, theatrical blur, or delayed navigation.</t>
        </is>
      </c>
      <c r="M24" s="43" t="inlineStr">
        <is>
          <t>Sources/Geraldine/Navigation/RootView.swift:109-137</t>
        </is>
      </c>
      <c r="N24" s="43" t="inlineStr">
        <is>
          <t>Source and installed app verified</t>
        </is>
      </c>
      <c r="O24" s="41" t="inlineStr">
        <is>
          <t>Review</t>
        </is>
      </c>
      <c r="P24" s="41" t="inlineStr"/>
    </row>
    <row r="25" ht="54" customHeight="1">
      <c r="A25" s="37" t="inlineStr">
        <is>
          <t>SHL-03</t>
        </is>
      </c>
      <c r="B25" s="37" t="inlineStr">
        <is>
          <t>Shell</t>
        </is>
      </c>
      <c r="C25" s="37" t="inlineStr">
        <is>
          <t>Background</t>
        </is>
      </c>
      <c r="D25" s="38" t="inlineStr">
        <is>
          <t>Module aura</t>
        </is>
      </c>
      <c r="E25" s="38" t="inlineStr">
        <is>
          <t>P1</t>
        </is>
      </c>
      <c r="F25" s="38" t="inlineStr">
        <is>
          <t>Medium</t>
        </is>
      </c>
      <c r="G25" s="38" t="inlineStr">
        <is>
          <t>M</t>
        </is>
      </c>
      <c r="H25" s="38" t="inlineStr">
        <is>
          <t>Medium</t>
        </is>
      </c>
      <c r="I25" s="38" t="inlineStr">
        <is>
          <t>Every module receives the same static violet and blue wash.</t>
        </is>
      </c>
      <c r="J25" s="39" t="inlineStr">
        <is>
          <t>Crossfade a highly restrained module-colored aura behind the persistent brand wash when navigation changes.</t>
        </is>
      </c>
      <c r="K25" s="38" t="inlineStr">
        <is>
          <t>The aura gives each module a temperature without tinting all cards.</t>
        </is>
      </c>
      <c r="L25" s="40" t="inlineStr">
        <is>
          <t>Quiet graphite base and readable content contrast.</t>
        </is>
      </c>
      <c r="M25" s="38" t="inlineStr">
        <is>
          <t>Sources/Geraldine/Navigation/RootView.swift:140-151</t>
        </is>
      </c>
      <c r="N25" s="38" t="inlineStr">
        <is>
          <t>Source and installed app verified</t>
        </is>
      </c>
      <c r="O25" s="41" t="inlineStr">
        <is>
          <t>Review</t>
        </is>
      </c>
      <c r="P25" s="41" t="inlineStr"/>
    </row>
    <row r="26" ht="54" customHeight="1">
      <c r="A26" s="42" t="inlineStr">
        <is>
          <t>SHL-04</t>
        </is>
      </c>
      <c r="B26" s="42" t="inlineStr">
        <is>
          <t>Shell</t>
        </is>
      </c>
      <c r="C26" s="42" t="inlineStr">
        <is>
          <t>Headers</t>
        </is>
      </c>
      <c r="D26" s="43" t="inlineStr">
        <is>
          <t>Page hero family</t>
        </is>
      </c>
      <c r="E26" s="43" t="inlineStr">
        <is>
          <t>P1</t>
        </is>
      </c>
      <c r="F26" s="43" t="inlineStr">
        <is>
          <t>High</t>
        </is>
      </c>
      <c r="G26" s="43" t="inlineStr">
        <is>
          <t>M</t>
        </is>
      </c>
      <c r="H26" s="43" t="inlineStr">
        <is>
          <t>Low</t>
        </is>
      </c>
      <c r="I26" s="43" t="inlineStr">
        <is>
          <t>Shared module headers use a 22-point title and glyph, while Dashboard, Calendar, and Settings use separate 28-point structures.</t>
        </is>
      </c>
      <c r="J26" s="39" t="inlineStr">
        <is>
          <t>Build standard module, data hero, and utility/settings header variants with aligned baselines and coherent entrance behavior.</t>
        </is>
      </c>
      <c r="K26" s="43" t="inlineStr">
        <is>
          <t>Optional scroll-aware compression for long modules after the base hierarchy is stable.</t>
        </is>
      </c>
      <c r="L26" s="40" t="inlineStr">
        <is>
          <t>Module subtitles and quick top-right actions.</t>
        </is>
      </c>
      <c r="M26" s="43" t="inlineStr">
        <is>
          <t>Sources/Geraldine/Features/Placeholder/ModulePlaceholderView.swift:43-65; DashboardView.swift:65-72; SettingsView.swift:22-27</t>
        </is>
      </c>
      <c r="N26" s="43" t="inlineStr">
        <is>
          <t>Source and installed app verified</t>
        </is>
      </c>
      <c r="O26" s="41" t="inlineStr">
        <is>
          <t>Review</t>
        </is>
      </c>
      <c r="P26" s="41" t="inlineStr"/>
    </row>
    <row r="27" ht="54" customHeight="1">
      <c r="A27" s="37" t="inlineStr">
        <is>
          <t>SHL-05</t>
        </is>
      </c>
      <c r="B27" s="37" t="inlineStr">
        <is>
          <t>Shell</t>
        </is>
      </c>
      <c r="C27" s="37" t="inlineStr">
        <is>
          <t>Settings</t>
        </is>
      </c>
      <c r="D27" s="38" t="inlineStr">
        <is>
          <t>Settings information architecture</t>
        </is>
      </c>
      <c r="E27" s="38" t="inlineStr">
        <is>
          <t>P0</t>
        </is>
      </c>
      <c r="F27" s="38" t="inlineStr">
        <is>
          <t>High</t>
        </is>
      </c>
      <c r="G27" s="38" t="inlineStr">
        <is>
          <t>L</t>
        </is>
      </c>
      <c r="H27" s="38" t="inlineStr">
        <is>
          <t>Medium</t>
        </is>
      </c>
      <c r="I27" s="38" t="inlineStr">
        <is>
          <t>Main-window Settings and the standalone native Settings window duplicate concepts with different visual systems and depth.</t>
        </is>
      </c>
      <c r="J27" s="39" t="inlineStr">
        <is>
          <t>Choose one canonical preferences architecture, then make secondary entry points route into it. Give settings a Geraldine-specific preview-led language instead of uniform forms.</t>
        </is>
      </c>
      <c r="K27" s="38" t="inlineStr">
        <is>
          <t>App-presence choices can show miniature menu-bar and Dock previews with direct, reversible feedback.</t>
        </is>
      </c>
      <c r="L27" s="40" t="inlineStr">
        <is>
          <t>Native window chrome and familiar setting controls.</t>
        </is>
      </c>
      <c r="M27" s="38" t="inlineStr">
        <is>
          <t>Sources/Geraldine/App/GeraldineApp.swift:26-32; Sources/Geraldine/Features/Settings/SettingsView.swift:3-231</t>
        </is>
      </c>
      <c r="N27" s="38" t="inlineStr">
        <is>
          <t>Source and installed main/native Settings verified</t>
        </is>
      </c>
      <c r="O27" s="41" t="inlineStr">
        <is>
          <t>Review</t>
        </is>
      </c>
      <c r="P27" s="41" t="inlineStr"/>
    </row>
    <row r="28" ht="54" customHeight="1">
      <c r="A28" s="42" t="inlineStr">
        <is>
          <t>SHL-06</t>
        </is>
      </c>
      <c r="B28" s="42" t="inlineStr">
        <is>
          <t>Shell</t>
        </is>
      </c>
      <c r="C28" s="42" t="inlineStr">
        <is>
          <t>Onboarding</t>
        </is>
      </c>
      <c r="D28" s="43" t="inlineStr">
        <is>
          <t>First run</t>
        </is>
      </c>
      <c r="E28" s="43" t="inlineStr">
        <is>
          <t>P1</t>
        </is>
      </c>
      <c r="F28" s="43" t="inlineStr">
        <is>
          <t>High</t>
        </is>
      </c>
      <c r="G28" s="43" t="inlineStr">
        <is>
          <t>L</t>
        </is>
      </c>
      <c r="H28" s="43" t="inlineStr">
        <is>
          <t>Medium</t>
        </is>
      </c>
      <c r="I28" s="43" t="inlineStr">
        <is>
          <t>Onboarding is a long 680 by 720 scrolling checklist made from repeated material cards.</t>
        </is>
      </c>
      <c r="J28" s="39" t="inlineStr">
        <is>
          <t>Create four concise stages: Geraldine identity, live menu-bar preview, permission readiness, and completion. Separate required, optional, and on-demand access.</t>
        </is>
      </c>
      <c r="K28" s="43" t="inlineStr">
        <is>
          <t>Resolve permission badges in place and finish with one calm completion flourish.</t>
        </is>
      </c>
      <c r="L28" s="40" t="inlineStr">
        <is>
          <t>Trustworthy explanations and explicit permission impact.</t>
        </is>
      </c>
      <c r="M28" s="43" t="inlineStr">
        <is>
          <t>Sources/Geraldine/Features/Onboarding/Onboarding.swift:5-250</t>
        </is>
      </c>
      <c r="N28" s="43" t="inlineStr">
        <is>
          <t>Source verified; live first-run sheet pending</t>
        </is>
      </c>
      <c r="O28" s="41" t="inlineStr">
        <is>
          <t>Review</t>
        </is>
      </c>
      <c r="P28" s="41" t="inlineStr"/>
    </row>
    <row r="29" ht="54" customHeight="1">
      <c r="A29" s="37" t="inlineStr">
        <is>
          <t>SHL-07</t>
        </is>
      </c>
      <c r="B29" s="37" t="inlineStr">
        <is>
          <t>Shell</t>
        </is>
      </c>
      <c r="C29" s="37" t="inlineStr">
        <is>
          <t>Menu bar</t>
        </is>
      </c>
      <c r="D29" s="38" t="inlineStr">
        <is>
          <t>Status item</t>
        </is>
      </c>
      <c r="E29" s="38" t="inlineStr">
        <is>
          <t>P1</t>
        </is>
      </c>
      <c r="F29" s="38" t="inlineStr">
        <is>
          <t>High</t>
        </is>
      </c>
      <c r="G29" s="38" t="inlineStr">
        <is>
          <t>M</t>
        </is>
      </c>
      <c r="H29" s="38" t="inlineStr">
        <is>
          <t>High</t>
        </is>
      </c>
      <c r="I29" s="38" t="inlineStr">
        <is>
          <t>The custom status item already provides fixed-width values, sparklines or glyphs, and rolling digits; cross-metric changes and open feedback remain abrupt.</t>
        </is>
      </c>
      <c r="J29" s="39" t="inlineStr">
        <is>
          <t>Preserve its exact compact footprint. Add Reduce Motion support, interruption-safe retargeting, and restrained cross-metric icon/chart morphing only after live notch and anchoring proof.</t>
        </is>
      </c>
      <c r="K29" s="38" t="inlineStr">
        <is>
          <t>A tiny opacity or highlight acknowledgement on open, never a width-changing animation.</t>
        </is>
      </c>
      <c r="L29" s="40" t="inlineStr">
        <is>
          <t>Compact renderer, gradient sparklines, fixed-width values, and current anchor geometry.</t>
        </is>
      </c>
      <c r="M29" s="38" t="inlineStr">
        <is>
          <t>Sources/Geraldine/MenuBar/MenuBarController.swift:85-216,316-577</t>
        </is>
      </c>
      <c r="N29" s="38" t="inlineStr">
        <is>
          <t>Source verified; direct live status-item capture required</t>
        </is>
      </c>
      <c r="O29" s="41" t="inlineStr">
        <is>
          <t>Review</t>
        </is>
      </c>
      <c r="P29" s="41" t="inlineStr"/>
    </row>
    <row r="30" ht="54" customHeight="1">
      <c r="A30" s="42" t="inlineStr">
        <is>
          <t>SHL-08</t>
        </is>
      </c>
      <c r="B30" s="42" t="inlineStr">
        <is>
          <t>Shell</t>
        </is>
      </c>
      <c r="C30" s="42" t="inlineStr">
        <is>
          <t>Menu bar</t>
        </is>
      </c>
      <c r="D30" s="43" t="inlineStr">
        <is>
          <t>Popover composition</t>
        </is>
      </c>
      <c r="E30" s="43" t="inlineStr">
        <is>
          <t>P1</t>
        </is>
      </c>
      <c r="F30" s="43" t="inlineStr">
        <is>
          <t>High</t>
        </is>
      </c>
      <c r="G30" s="43" t="inlineStr">
        <is>
          <t>M</t>
        </is>
      </c>
      <c r="H30" s="43" t="inlineStr">
        <is>
          <t>Medium</t>
        </is>
      </c>
      <c r="I30" s="43" t="inlineStr">
        <is>
          <t>The 320-point popover stacks a branded header, dense widgets, devices, recommendation, and plain footer rows with limited section rhythm.</t>
        </is>
      </c>
      <c r="J30" s="39" t="inlineStr">
        <is>
          <t>Keep native NSPopover opening and top anchoring; improve section rhythm and reveal header, widgets, and recommendation in two or three short internal groups.</t>
        </is>
      </c>
      <c r="K30" s="43" t="inlineStr">
        <is>
          <t>Synchronize dynamic height changes while keeping the top anchor visually fixed.</t>
        </is>
      </c>
      <c r="L30" s="40" t="inlineStr">
        <is>
          <t>Native dismissal behavior and compact scrollable footprint.</t>
        </is>
      </c>
      <c r="M30" s="43" t="inlineStr">
        <is>
          <t>Sources/Geraldine/MenuBar/MenuBarView.swift:18-135; MenuBarController.swift:34-49,112-127</t>
        </is>
      </c>
      <c r="N30" s="43" t="inlineStr">
        <is>
          <t>Source verified; direct popover capture required</t>
        </is>
      </c>
      <c r="O30" s="41" t="inlineStr">
        <is>
          <t>Review</t>
        </is>
      </c>
      <c r="P30" s="41" t="inlineStr"/>
    </row>
    <row r="31" ht="54" customHeight="1">
      <c r="A31" s="37" t="inlineStr">
        <is>
          <t>SHL-09</t>
        </is>
      </c>
      <c r="B31" s="37" t="inlineStr">
        <is>
          <t>Shell</t>
        </is>
      </c>
      <c r="C31" s="37" t="inlineStr">
        <is>
          <t>Menu bar</t>
        </is>
      </c>
      <c r="D31" s="38" t="inlineStr">
        <is>
          <t>Widget customization and drag</t>
        </is>
      </c>
      <c r="E31" s="38" t="inlineStr">
        <is>
          <t>P1</t>
        </is>
      </c>
      <c r="F31" s="38" t="inlineStr">
        <is>
          <t>High</t>
        </is>
      </c>
      <c r="G31" s="38" t="inlineStr">
        <is>
          <t>L</t>
        </is>
      </c>
      <c r="H31" s="38" t="inlineStr">
        <is>
          <t>Medium</t>
        </is>
      </c>
      <c r="I31" s="38" t="inlineStr">
        <is>
          <t>Customize, resize, visibility, reset, and reorder work, but edit mode is visually modest; dragged tiles do not visibly lift and drop targets are unclear.</t>
        </is>
      </c>
      <c r="J31" s="39" t="inlineStr">
        <is>
          <t>Use stable widget IDs and layout, a clear edit ring, lifted dragged tile, glowing insertion slot, smoothly moving neighbors, and accessible move-before/move-after actions.</t>
        </is>
      </c>
      <c r="K31" s="38" t="inlineStr">
        <is>
          <t>Contextual plus/check and expand/shrink icons replace with scale, opacity, and blur, with zero bounce.</t>
        </is>
      </c>
      <c r="L31" s="40" t="inlineStr">
        <is>
          <t>Small widgets pair two-up, large widgets span full width, and the first widget drives the menu-bar status item.</t>
        </is>
      </c>
      <c r="M31" s="38" t="inlineStr">
        <is>
          <t>Sources/Geraldine/MenuBar/MetricWidgets.swift:18-250; WidgetLayout.swift:131-214</t>
        </is>
      </c>
      <c r="N31" s="38" t="inlineStr">
        <is>
          <t>Source verified; live drag matrix required</t>
        </is>
      </c>
      <c r="O31" s="41" t="inlineStr">
        <is>
          <t>Review</t>
        </is>
      </c>
      <c r="P31" s="41" t="inlineStr"/>
    </row>
    <row r="32" ht="54" customHeight="1">
      <c r="A32" s="42" t="inlineStr">
        <is>
          <t>SIG-01</t>
        </is>
      </c>
      <c r="B32" s="42" t="inlineStr">
        <is>
          <t>Signature</t>
        </is>
      </c>
      <c r="C32" s="42" t="inlineStr">
        <is>
          <t>Keep Awake</t>
        </is>
      </c>
      <c r="D32" s="43" t="inlineStr">
        <is>
          <t>Identity coherence</t>
        </is>
      </c>
      <c r="E32" s="43" t="inlineStr">
        <is>
          <t>P1</t>
        </is>
      </c>
      <c r="F32" s="43" t="inlineStr">
        <is>
          <t>High</t>
        </is>
      </c>
      <c r="G32" s="43" t="inlineStr">
        <is>
          <t>M</t>
        </is>
      </c>
      <c r="H32" s="43" t="inlineStr">
        <is>
          <t>Medium</t>
        </is>
      </c>
      <c r="I32" s="43" t="inlineStr">
        <is>
          <t>Navigation uses a coffee cup while the feature’s true identity is the custom eye; active color semantics differ between page and widget.</t>
        </is>
      </c>
      <c r="J32" s="39" t="inlineStr">
        <is>
          <t>Use the eye throughout and standardize idle orange versus active bloodshot red across sidebar, page, widget, and menu bar.</t>
        </is>
      </c>
      <c r="K32" s="43" t="inlineStr">
        <is>
          <t>The eye becomes Geraldine’s care mascot without turning cartoonish.</t>
        </is>
      </c>
      <c r="L32" s="40" t="inlineStr">
        <is>
          <t>Bare sphere, iris, catchlight, and bloodshot active state.</t>
        </is>
      </c>
      <c r="M32" s="43" t="inlineStr">
        <is>
          <t>Sources/Geraldine/Navigation/Module.swift:55; DesignSystem/EyeView.swift:4-84; MenuBar/KeepAwakeWidget.swift:65-155</t>
        </is>
      </c>
      <c r="N32" s="43" t="inlineStr">
        <is>
          <t>Source and installed Keep Awake verified</t>
        </is>
      </c>
      <c r="O32" s="41" t="inlineStr">
        <is>
          <t>Review</t>
        </is>
      </c>
      <c r="P32" s="41" t="inlineStr"/>
    </row>
    <row r="33" ht="54" customHeight="1">
      <c r="A33" s="37" t="inlineStr">
        <is>
          <t>SIG-02</t>
        </is>
      </c>
      <c r="B33" s="37" t="inlineStr">
        <is>
          <t>Signature</t>
        </is>
      </c>
      <c r="C33" s="37" t="inlineStr">
        <is>
          <t>Keep Awake</t>
        </is>
      </c>
      <c r="D33" s="38" t="inlineStr">
        <is>
          <t>Eye interaction and state morph</t>
        </is>
      </c>
      <c r="E33" s="38" t="inlineStr">
        <is>
          <t>P1</t>
        </is>
      </c>
      <c r="F33" s="38" t="inlineStr">
        <is>
          <t>High</t>
        </is>
      </c>
      <c r="G33" s="38" t="inlineStr">
        <is>
          <t>M</t>
        </is>
      </c>
      <c r="H33" s="38" t="inlineStr">
        <is>
          <t>Medium</t>
        </is>
      </c>
      <c r="I33" s="38" t="inlineStr">
        <is>
          <t>Idle and active layouts branch separately; eye pulse is endless and clickable eyes only change cursor until activation.</t>
        </is>
      </c>
      <c r="J33" s="39" t="inlineStr">
        <is>
          <t>Keep one spatial composition: the eye travels into the countdown halo, title and countdown trade places asymmetrically, and a restrained pupil/catchlight poke responds to press.</t>
        </is>
      </c>
      <c r="K33" s="38" t="inlineStr">
        <is>
          <t>Hover adds only a faint halo; Reduce Motion uses a stable state with no positional travel or pulse.</t>
        </is>
      </c>
      <c r="L33" s="40" t="inlineStr">
        <is>
          <t>Immediate countdown readability and clean reversal on rapid start/stop.</t>
        </is>
      </c>
      <c r="M33" s="38" t="inlineStr">
        <is>
          <t>Sources/Geraldine/Features/KeepAwake/KeepAwakeView.swift:39-123; MenuBar/KeepAwakeWidget.swift:20-209; EyeView.swift:12-83</t>
        </is>
      </c>
      <c r="N33" s="38" t="inlineStr">
        <is>
          <t>Source and installed active state verified</t>
        </is>
      </c>
      <c r="O33" s="41" t="inlineStr">
        <is>
          <t>Review</t>
        </is>
      </c>
      <c r="P33" s="41" t="inlineStr"/>
    </row>
    <row r="34" ht="54" customHeight="1">
      <c r="A34" s="42" t="inlineStr">
        <is>
          <t>SIG-03</t>
        </is>
      </c>
      <c r="B34" s="42" t="inlineStr">
        <is>
          <t>Signature</t>
        </is>
      </c>
      <c r="C34" s="42" t="inlineStr">
        <is>
          <t>Space Lens</t>
        </is>
      </c>
      <c r="D34" s="43" t="inlineStr">
        <is>
          <t>Spatial treemap interaction</t>
        </is>
      </c>
      <c r="E34" s="43" t="inlineStr">
        <is>
          <t>P1</t>
        </is>
      </c>
      <c r="F34" s="43" t="inlineStr">
        <is>
          <t>High</t>
        </is>
      </c>
      <c r="G34" s="43" t="inlineStr">
        <is>
          <t>L</t>
        </is>
      </c>
      <c r="H34" s="43" t="inlineStr">
        <is>
          <t>High</t>
        </is>
      </c>
      <c r="I34" s="43" t="inlineStr">
        <is>
          <t>Treemap cells appear at final rectangles, use fresh UUID identity, have no hover or keyboard activation, and drill-in clears the map before reloading.</t>
        </is>
      </c>
      <c r="J34" s="39" t="inlineStr">
        <is>
          <t>Use stable URL-derived IDs, true buttons, hover elevation, progressive labels, and a reversible spatial zoom where the selected folder expands into the next map.</t>
        </is>
      </c>
      <c r="K34" s="43" t="inlineStr">
        <is>
          <t>Breadcrumbs and sibling cells preserve spatial continuity rather than flashing to a new canvas.</t>
        </is>
      </c>
      <c r="L34" s="40" t="inlineStr">
        <is>
          <t>Top-level treemap concept, 45-cell cap, context menu, and permission safety.</t>
        </is>
      </c>
      <c r="M34" s="43" t="inlineStr">
        <is>
          <t>Sources/Geraldine/Features/SpaceLens/SpaceLensView.swift:58-100,196-236; SpaceLensViewModel.swift:4-65</t>
        </is>
      </c>
      <c r="N34" s="43" t="inlineStr">
        <is>
          <t>Source and installed scan/result verified</t>
        </is>
      </c>
      <c r="O34" s="41" t="inlineStr">
        <is>
          <t>Review</t>
        </is>
      </c>
      <c r="P34" s="41" t="inlineStr"/>
    </row>
    <row r="35" ht="54" customHeight="1">
      <c r="A35" s="37" t="inlineStr">
        <is>
          <t>SIG-04</t>
        </is>
      </c>
      <c r="B35" s="37" t="inlineStr">
        <is>
          <t>Signature</t>
        </is>
      </c>
      <c r="C35" s="37" t="inlineStr">
        <is>
          <t>Charts</t>
        </is>
      </c>
      <c r="D35" s="38" t="inlineStr">
        <is>
          <t>Geraldine chart language</t>
        </is>
      </c>
      <c r="E35" s="38" t="inlineStr">
        <is>
          <t>P1</t>
        </is>
      </c>
      <c r="F35" s="38" t="inlineStr">
        <is>
          <t>High</t>
        </is>
      </c>
      <c r="G35" s="38" t="inlineStr">
        <is>
          <t>L</t>
        </is>
      </c>
      <c r="H35" s="38" t="inlineStr">
        <is>
          <t>Medium</t>
        </is>
      </c>
      <c r="I35" s="38" t="inlineStr">
        <is>
          <t>Shared charts are accurate polylines and fills but lack endpoint emphasis, hover inspection, transition grammar, and consistent plot fields; live lines step each second.</t>
        </is>
      </c>
      <c r="J35" s="39" t="inlineStr">
        <is>
          <t>Define faint plot fields, threshold wash, subtle live endpoint glow, lightweight hover crosshair on large charts, and a measured newest-segment append tween.</t>
        </is>
      </c>
      <c r="K35" s="38" t="inlineStr">
        <is>
          <t>One-time collecting-to-live reveal; compact menu-bar sparklines remain noninteractive and quiet.</t>
        </is>
      </c>
      <c r="L35" s="40" t="inlineStr">
        <is>
          <t>Timestamp semantics, gaps, downsampling, battery’s separate date model, and energy efficiency.</t>
        </is>
      </c>
      <c r="M35" s="38" t="inlineStr">
        <is>
          <t>Sources/Geraldine/Components/Charts.swift:27-217; Features/Battery/BatteryView.swift:302-374; Services/SystemMonitor.swift:75-155</t>
        </is>
      </c>
      <c r="N35" s="38" t="inlineStr">
        <is>
          <t>Source and installed Dashboard/Activity charts verified</t>
        </is>
      </c>
      <c r="O35" s="41" t="inlineStr">
        <is>
          <t>Review</t>
        </is>
      </c>
      <c r="P35" s="41" t="inlineStr"/>
    </row>
    <row r="36" ht="54" customHeight="1">
      <c r="A36" s="42" t="inlineStr">
        <is>
          <t>SIG-05</t>
        </is>
      </c>
      <c r="B36" s="42" t="inlineStr">
        <is>
          <t>Signature</t>
        </is>
      </c>
      <c r="C36" s="42" t="inlineStr">
        <is>
          <t>Smart Care</t>
        </is>
      </c>
      <c r="D36" s="43" t="inlineStr">
        <is>
          <t>Health score reveal</t>
        </is>
      </c>
      <c r="E36" s="43" t="inlineStr">
        <is>
          <t>P1</t>
        </is>
      </c>
      <c r="F36" s="43" t="inlineStr">
        <is>
          <t>High</t>
        </is>
      </c>
      <c r="G36" s="43" t="inlineStr">
        <is>
          <t>M</t>
        </is>
      </c>
      <c r="H36" s="43" t="inlineStr">
        <is>
          <t>Medium</t>
        </is>
      </c>
      <c r="I36" s="43" t="inlineStr">
        <is>
          <t>The branded spinner disappears and the completed score ring plus findings arrive fully formed.</t>
        </is>
      </c>
      <c r="J36" s="39" t="inlineStr">
        <is>
          <t>Morph the seal spinner into the score ring, trace it once, roll zero to the actual score, then reveal summary and the first visible findings with a short bounded stagger.</t>
        </is>
      </c>
      <c r="K36" s="43" t="inlineStr">
        <is>
          <t>Queued actions insert as one calm care plan rather than another card stack.</t>
        </is>
      </c>
      <c r="L36" s="40" t="inlineStr">
        <is>
          <t>Confidence and scope language, truthful completion timing, and long-list immediacy.</t>
        </is>
      </c>
      <c r="M36" s="43" t="inlineStr">
        <is>
          <t>Sources/Geraldine/Features/SmartCare/SmartCareView.swift:222-439</t>
        </is>
      </c>
      <c r="N36" s="43" t="inlineStr">
        <is>
          <t>Installed scanning and result states verified</t>
        </is>
      </c>
      <c r="O36" s="41" t="inlineStr">
        <is>
          <t>Review</t>
        </is>
      </c>
      <c r="P36" s="41" t="inlineStr"/>
    </row>
    <row r="37" ht="54" customHeight="1">
      <c r="A37" s="37" t="inlineStr">
        <is>
          <t>SIG-06</t>
        </is>
      </c>
      <c r="B37" s="37" t="inlineStr">
        <is>
          <t>Signature</t>
        </is>
      </c>
      <c r="C37" s="37" t="inlineStr">
        <is>
          <t>Calendar</t>
        </is>
      </c>
      <c r="D37" s="38" t="inlineStr">
        <is>
          <t>Month and time travel</t>
        </is>
      </c>
      <c r="E37" s="38" t="inlineStr">
        <is>
          <t>P2</t>
        </is>
      </c>
      <c r="F37" s="38" t="inlineStr">
        <is>
          <t>Medium</t>
        </is>
      </c>
      <c r="G37" s="38" t="inlineStr">
        <is>
          <t>M</t>
        </is>
      </c>
      <c r="H37" s="38" t="inlineStr">
        <is>
          <t>Medium</t>
        </is>
      </c>
      <c r="I37" s="38" t="inlineStr">
        <is>
          <t>Month offset animates generically with no direction; time-travel values and day/night symbols snap.</t>
        </is>
      </c>
      <c r="J37" s="39" t="inlineStr">
        <is>
          <t>Slide and fade month grids by direction, morph the month title, keep slider response direct, and contextually replace sun and moon icons.</t>
        </is>
      </c>
      <c r="K37" s="38" t="inlineStr">
        <is>
          <t>Today glow responds once when returning to now.</t>
        </is>
      </c>
      <c r="L37" s="40" t="inlineStr">
        <is>
          <t>Dense calendar clarity and direct slider tracking.</t>
        </is>
      </c>
      <c r="M37" s="38" t="inlineStr">
        <is>
          <t>Sources/Geraldine/Features/Calendar/CalendarPopover.swift:14-127,166-334</t>
        </is>
      </c>
      <c r="N37" s="38" t="inlineStr">
        <is>
          <t>Source verified; live popover pending</t>
        </is>
      </c>
      <c r="O37" s="41" t="inlineStr">
        <is>
          <t>Review</t>
        </is>
      </c>
      <c r="P37" s="41" t="inlineStr"/>
    </row>
    <row r="38" ht="54" customHeight="1">
      <c r="A38" s="42" t="inlineStr">
        <is>
          <t>SIG-07</t>
        </is>
      </c>
      <c r="B38" s="42" t="inlineStr">
        <is>
          <t>Signature</t>
        </is>
      </c>
      <c r="C38" s="42" t="inlineStr">
        <is>
          <t>Numbers</t>
        </is>
      </c>
      <c r="D38" s="43" t="inlineStr">
        <is>
          <t>Measurement transitions</t>
        </is>
      </c>
      <c r="E38" s="43" t="inlineStr">
        <is>
          <t>P1</t>
        </is>
      </c>
      <c r="F38" s="43" t="inlineStr">
        <is>
          <t>High</t>
        </is>
      </c>
      <c r="G38" s="43" t="inlineStr">
        <is>
          <t>M</t>
        </is>
      </c>
      <c r="H38" s="43" t="inlineStr">
        <is>
          <t>Medium</t>
        </is>
      </c>
      <c r="I38" s="43" t="inlineStr">
        <is>
          <t>AnimatedNumberText rolls numeric columns well, but unit or formatting changes can snap while digits animate; the AppKit menu renderer has a separate interruption model.</t>
        </is>
      </c>
      <c r="J38" s="39" t="inlineStr">
        <is>
          <t>Add an animated-measurement layer that separates digit rolls from unit-token replacement, crossfades units, preserves reserved width, and shares Reduce Motion rules.</t>
        </is>
      </c>
      <c r="K38" s="43" t="inlineStr">
        <is>
          <t>Test 999K to 1.00M, 59m to 1h, countdown rollovers, and temperature summaries.</t>
        </is>
      </c>
      <c r="L38" s="40" t="inlineStr">
        <is>
          <t>Current direction convention, accessibility label, and fixed-width stability.</t>
        </is>
      </c>
      <c r="M38" s="43" t="inlineStr">
        <is>
          <t>Sources/Geraldine/DesignSystem/Components.swift:52-244; MenuBar/MenuBarController.swift:316-429</t>
        </is>
      </c>
      <c r="N38" s="43" t="inlineStr">
        <is>
          <t>Source and installed rolling metrics verified</t>
        </is>
      </c>
      <c r="O38" s="41" t="inlineStr">
        <is>
          <t>Review</t>
        </is>
      </c>
      <c r="P38" s="41" t="inlineStr"/>
    </row>
    <row r="39" ht="54" customHeight="1">
      <c r="A39" s="37" t="inlineStr">
        <is>
          <t>MOD-01</t>
        </is>
      </c>
      <c r="B39" s="37" t="inlineStr">
        <is>
          <t>Modules</t>
        </is>
      </c>
      <c r="C39" s="37" t="inlineStr">
        <is>
          <t>Dashboard</t>
        </is>
      </c>
      <c r="D39" s="38" t="inlineStr">
        <is>
          <t>Dashboard hierarchy</t>
        </is>
      </c>
      <c r="E39" s="38" t="inlineStr">
        <is>
          <t>P1</t>
        </is>
      </c>
      <c r="F39" s="38" t="inlineStr">
        <is>
          <t>High</t>
        </is>
      </c>
      <c r="G39" s="38" t="inlineStr">
        <is>
          <t>L</t>
        </is>
      </c>
      <c r="H39" s="38" t="inlineStr">
        <is>
          <t>Medium</t>
        </is>
      </c>
      <c r="I39" s="38" t="inlineStr">
        <is>
          <t>Four equal gauge cards dominate before network and actions, making the page pleasant but conventional and evenly weighted.</t>
        </is>
      </c>
      <c r="J39" s="39" t="inlineStr">
        <is>
          <t>Lead with one living Mac-health judgment or hero, supported by vitals; let network and actions form a clear second tier.</t>
        </is>
      </c>
      <c r="K39" s="38" t="inlineStr">
        <is>
          <t>Stagger only the hero, first vital group, and actions; give actionable rows visible hover.</t>
        </is>
      </c>
      <c r="L39" s="40" t="inlineStr">
        <is>
          <t>Rolling metrics, network Peak/Avg overlay, and quick-action coverage.</t>
        </is>
      </c>
      <c r="M39" s="38" t="inlineStr">
        <is>
          <t>Sources/Geraldine/Features/Dashboard/DashboardView.swift:20-153</t>
        </is>
      </c>
      <c r="N39" s="38" t="inlineStr">
        <is>
          <t>Installed upper and lower Dashboard verified</t>
        </is>
      </c>
      <c r="O39" s="41" t="inlineStr">
        <is>
          <t>Review</t>
        </is>
      </c>
      <c r="P39" s="41" t="inlineStr"/>
    </row>
    <row r="40" ht="54" customHeight="1">
      <c r="A40" s="42" t="inlineStr">
        <is>
          <t>MOD-02</t>
        </is>
      </c>
      <c r="B40" s="42" t="inlineStr">
        <is>
          <t>Modules</t>
        </is>
      </c>
      <c r="C40" s="42" t="inlineStr">
        <is>
          <t>Activity</t>
        </is>
      </c>
      <c r="D40" s="43" t="inlineStr">
        <is>
          <t>Live monitor</t>
        </is>
      </c>
      <c r="E40" s="43" t="inlineStr">
        <is>
          <t>P1</t>
        </is>
      </c>
      <c r="F40" s="43" t="inlineStr">
        <is>
          <t>High</t>
        </is>
      </c>
      <c r="G40" s="43" t="inlineStr">
        <is>
          <t>L</t>
        </is>
      </c>
      <c r="H40" s="43" t="inlineStr">
        <is>
          <t>Medium</t>
        </is>
      </c>
      <c r="I40" s="43" t="inlineStr">
        <is>
          <t>CPU and memory charts, temperature, uptime, load, and process rows are competent but update abruptly and share similar card weight.</t>
        </is>
      </c>
      <c r="J40" s="39" t="inlineStr">
        <is>
          <t>Use the chart language, stronger temperature hierarchy, fixed process-row geometry, clear CPU/Memory sort state, and gentle row-value retargeting.</t>
        </is>
      </c>
      <c r="K40" s="43" t="inlineStr">
        <is>
          <t>Newest chart head glows briefly; process order changes without animating every offscreen row.</t>
        </is>
      </c>
      <c r="L40" s="40" t="inlineStr">
        <is>
          <t>Timestamped history, sensor details, and dense data access.</t>
        </is>
      </c>
      <c r="M40" s="43" t="inlineStr">
        <is>
          <t>Sources/Geraldine/Features/Activity/ActivityView.swift:33-205</t>
        </is>
      </c>
      <c r="N40" s="43" t="inlineStr">
        <is>
          <t>Installed upper and lower Activity verified</t>
        </is>
      </c>
      <c r="O40" s="41" t="inlineStr">
        <is>
          <t>Review</t>
        </is>
      </c>
      <c r="P40" s="41" t="inlineStr"/>
    </row>
    <row r="41" ht="54" customHeight="1">
      <c r="A41" s="37" t="inlineStr">
        <is>
          <t>MOD-03</t>
        </is>
      </c>
      <c r="B41" s="37" t="inlineStr">
        <is>
          <t>Modules</t>
        </is>
      </c>
      <c r="C41" s="37" t="inlineStr">
        <is>
          <t>Storage</t>
        </is>
      </c>
      <c r="D41" s="38" t="inlineStr">
        <is>
          <t>Measurement and results</t>
        </is>
      </c>
      <c r="E41" s="38" t="inlineStr">
        <is>
          <t>P1</t>
        </is>
      </c>
      <c r="F41" s="38" t="inlineStr">
        <is>
          <t>High</t>
        </is>
      </c>
      <c r="G41" s="38" t="inlineStr">
        <is>
          <t>M</t>
        </is>
      </c>
      <c r="H41" s="38" t="inlineStr">
        <is>
          <t>Medium</t>
        </is>
      </c>
      <c r="I41" s="38" t="inlineStr">
        <is>
          <t>The donut is a strong focal point, but initial measurement can sit on a sparse screen for a long time and category details become text-heavy.</t>
        </is>
      </c>
      <c r="J41" s="39" t="inlineStr">
        <is>
          <t>Show real scan phases or measured scope, reveal the donut and category rows progressively, and make measured versus derived values visually explicit.</t>
        </is>
      </c>
      <c r="K41" s="38" t="inlineStr">
        <is>
          <t>Spinner icon resolves into the donut center when trustworthy data arrives.</t>
        </is>
      </c>
      <c r="L41" s="40" t="inlineStr">
        <is>
          <t>Accurate categories, refresh behavior, and route actions.</t>
        </is>
      </c>
      <c r="M41" s="38" t="inlineStr">
        <is>
          <t>Sources/Geraldine/Features/Storage/StorageView.swift:202-407</t>
        </is>
      </c>
      <c r="N41" s="38" t="inlineStr">
        <is>
          <t>Installed measuring state verified; completed results pending current scan</t>
        </is>
      </c>
      <c r="O41" s="41" t="inlineStr">
        <is>
          <t>Review</t>
        </is>
      </c>
      <c r="P41" s="41" t="inlineStr"/>
    </row>
    <row r="42" ht="54" customHeight="1">
      <c r="A42" s="42" t="inlineStr">
        <is>
          <t>MOD-04</t>
        </is>
      </c>
      <c r="B42" s="42" t="inlineStr">
        <is>
          <t>Modules</t>
        </is>
      </c>
      <c r="C42" s="42" t="inlineStr">
        <is>
          <t>Battery and Power</t>
        </is>
      </c>
      <c r="D42" s="43" t="inlineStr">
        <is>
          <t>Battery or desktop power</t>
        </is>
      </c>
      <c r="E42" s="43" t="inlineStr">
        <is>
          <t>P1</t>
        </is>
      </c>
      <c r="F42" s="43" t="inlineStr">
        <is>
          <t>High</t>
        </is>
      </c>
      <c r="G42" s="43" t="inlineStr">
        <is>
          <t>M</t>
        </is>
      </c>
      <c r="H42" s="43" t="inlineStr">
        <is>
          <t>Medium</t>
        </is>
      </c>
      <c r="I42" s="43" t="inlineStr">
        <is>
          <t>Battery hardware gets a custom glyph and chart, while desktop Power uses a simpler AC card and consumer list.</t>
        </is>
      </c>
      <c r="J42" s="39" t="inlineStr">
        <is>
          <t>Create a shared energy hero family with hardware-specific character, chart-range continuity, and clearer consumer identity.</t>
        </is>
      </c>
      <c r="K42" s="43" t="inlineStr">
        <is>
          <t>A one-shot charging or plug halo responds to state changes; never run an endless lightning shimmer.</t>
        </is>
      </c>
      <c r="L42" s="40" t="inlineStr">
        <is>
          <t>Desktop-versus-battery truth and separate battery date history.</t>
        </is>
      </c>
      <c r="M42" s="43" t="inlineStr">
        <is>
          <t>Sources/Geraldine/Features/Battery/BatteryView.swift:14-433</t>
        </is>
      </c>
      <c r="N42" s="43" t="inlineStr">
        <is>
          <t>Installed desktop Power verified; battery hardware pending</t>
        </is>
      </c>
      <c r="O42" s="41" t="inlineStr">
        <is>
          <t>Review</t>
        </is>
      </c>
      <c r="P42" s="41" t="inlineStr"/>
    </row>
    <row r="43" ht="54" customHeight="1">
      <c r="A43" s="37" t="inlineStr">
        <is>
          <t>MOD-05</t>
        </is>
      </c>
      <c r="B43" s="37" t="inlineStr">
        <is>
          <t>Modules</t>
        </is>
      </c>
      <c r="C43" s="37" t="inlineStr">
        <is>
          <t>Keep Awake</t>
        </is>
      </c>
      <c r="D43" s="38" t="inlineStr">
        <is>
          <t>Full-page supporting controls</t>
        </is>
      </c>
      <c r="E43" s="38" t="inlineStr">
        <is>
          <t>P1</t>
        </is>
      </c>
      <c r="F43" s="38" t="inlineStr">
        <is>
          <t>High</t>
        </is>
      </c>
      <c r="G43" s="38" t="inlineStr">
        <is>
          <t>M</t>
        </is>
      </c>
      <c r="H43" s="38" t="inlineStr">
        <is>
          <t>Medium</t>
        </is>
      </c>
      <c r="I43" s="38" t="inlineStr">
        <is>
          <t>The eye hero is distinctive, but duration, power policies, Idle Activity, and automation return to generic card and settings patterns.</t>
        </is>
      </c>
      <c r="J43" s="39" t="inlineStr">
        <is>
          <t>Let active state subtly reshape the whole page, make duration tiles tactile, and present policies as one coherent sleep contract.</t>
        </is>
      </c>
      <c r="K43" s="38" t="inlineStr">
        <is>
          <t>Selected duration gains a warm edge and contextual countdown preview without excessive glow.</t>
        </is>
      </c>
      <c r="L43" s="40" t="inlineStr">
        <is>
          <t>Eye hero, deep-link automation copy, and immediate safety controls.</t>
        </is>
      </c>
      <c r="M43" s="38" t="inlineStr">
        <is>
          <t>Sources/Geraldine/Features/KeepAwake/KeepAwakeView.swift:10-240</t>
        </is>
      </c>
      <c r="N43" s="38" t="inlineStr">
        <is>
          <t>Installed active Keep Awake verified</t>
        </is>
      </c>
      <c r="O43" s="41" t="inlineStr">
        <is>
          <t>Review</t>
        </is>
      </c>
      <c r="P43" s="41" t="inlineStr"/>
    </row>
    <row r="44" ht="54" customHeight="1">
      <c r="A44" s="42" t="inlineStr">
        <is>
          <t>MOD-06</t>
        </is>
      </c>
      <c r="B44" s="42" t="inlineStr">
        <is>
          <t>Modules</t>
        </is>
      </c>
      <c r="C44" s="42" t="inlineStr">
        <is>
          <t>Calendar settings</t>
        </is>
      </c>
      <c r="D44" s="43" t="inlineStr">
        <is>
          <t>Preview-led configuration</t>
        </is>
      </c>
      <c r="E44" s="43" t="inlineStr">
        <is>
          <t>P1</t>
        </is>
      </c>
      <c r="F44" s="43" t="inlineStr">
        <is>
          <t>High</t>
        </is>
      </c>
      <c r="G44" s="43" t="inlineStr">
        <is>
          <t>M</t>
        </is>
      </c>
      <c r="H44" s="43" t="inlineStr">
        <is>
          <t>Low</t>
        </is>
      </c>
      <c r="I44" s="43" t="inlineStr">
        <is>
          <t>The live preview is useful, but the rest of the screen resembles a generic grouped settings form.</t>
        </is>
      </c>
      <c r="J44" s="39" t="inlineStr">
        <is>
          <t>Make the preview the visual centerpiece and animate settings consequences directly inside it; group format, calendar, and clock choices by outcome.</t>
        </is>
      </c>
      <c r="K44" s="43" t="inlineStr">
        <is>
          <t>Preview date and clock tokens morph in place when choices change.</t>
        </is>
      </c>
      <c r="L44" s="40" t="inlineStr">
        <is>
          <t>Native pickers, checkboxes, custom-format validation, and current settings coverage.</t>
        </is>
      </c>
      <c r="M44" s="43" t="inlineStr">
        <is>
          <t>Sources/Geraldine/Features/Calendar/CalendarSettingsView.swift:6-188</t>
        </is>
      </c>
      <c r="N44" s="43" t="inlineStr">
        <is>
          <t>Installed Calendar settings verified</t>
        </is>
      </c>
      <c r="O44" s="41" t="inlineStr">
        <is>
          <t>Review</t>
        </is>
      </c>
      <c r="P44" s="41" t="inlineStr"/>
    </row>
    <row r="45" ht="54" customHeight="1">
      <c r="A45" s="37" t="inlineStr">
        <is>
          <t>MOD-07</t>
        </is>
      </c>
      <c r="B45" s="37" t="inlineStr">
        <is>
          <t>Modules</t>
        </is>
      </c>
      <c r="C45" s="37" t="inlineStr">
        <is>
          <t>Power Tools</t>
        </is>
      </c>
      <c r="D45" s="38" t="inlineStr">
        <is>
          <t>Dense utility controls</t>
        </is>
      </c>
      <c r="E45" s="38" t="inlineStr">
        <is>
          <t>P1</t>
        </is>
      </c>
      <c r="F45" s="38" t="inlineStr">
        <is>
          <t>High</t>
        </is>
      </c>
      <c r="G45" s="38" t="inlineStr">
        <is>
          <t>L</t>
        </is>
      </c>
      <c r="H45" s="38" t="inlineStr">
        <is>
          <t>Medium</t>
        </is>
      </c>
      <c r="I45" s="38" t="inlineStr">
        <is>
          <t>Six capable sections form a long wall of similarly weighted utility cards; result feedback appears abruptly.</t>
        </is>
      </c>
      <c r="J45" s="39" t="inlineStr">
        <is>
          <t>Strengthen enabled and disabled hierarchy, keep the active tool section visually dominant, and place feedback at the ownership boundary that caused it.</t>
        </is>
      </c>
      <c r="K45" s="38" t="inlineStr">
        <is>
          <t>Stateful fixed-width Run controls resolve into Done or Retry with a calm status wash.</t>
        </is>
      </c>
      <c r="L45" s="40" t="inlineStr">
        <is>
          <t>Native toggles and menus, permission transparency, and system-owned prompts.</t>
        </is>
      </c>
      <c r="M45" s="38" t="inlineStr">
        <is>
          <t>Sources/Geraldine/Features/PowerTools/PowerToolsView.swift:3-280</t>
        </is>
      </c>
      <c r="N45" s="38" t="inlineStr">
        <is>
          <t>Installed upper Power Tools verified</t>
        </is>
      </c>
      <c r="O45" s="41" t="inlineStr">
        <is>
          <t>Review</t>
        </is>
      </c>
      <c r="P45" s="41" t="inlineStr"/>
    </row>
    <row r="46" ht="54" customHeight="1">
      <c r="A46" s="42" t="inlineStr">
        <is>
          <t>MOD-08</t>
        </is>
      </c>
      <c r="B46" s="42" t="inlineStr">
        <is>
          <t>Modules</t>
        </is>
      </c>
      <c r="C46" s="42" t="inlineStr">
        <is>
          <t>Cleanup</t>
        </is>
      </c>
      <c r="D46" s="43" t="inlineStr">
        <is>
          <t>Scan-to-clean journey</t>
        </is>
      </c>
      <c r="E46" s="43" t="inlineStr">
        <is>
          <t>P1</t>
        </is>
      </c>
      <c r="F46" s="43" t="inlineStr">
        <is>
          <t>High</t>
        </is>
      </c>
      <c r="G46" s="43" t="inlineStr">
        <is>
          <t>M</t>
        </is>
      </c>
      <c r="H46" s="43" t="inlineStr">
        <is>
          <t>Medium</t>
        </is>
      </c>
      <c r="I46" s="43" t="inlineStr">
        <is>
          <t>Idle, scanning, empty, results, cleaning, confirmation, and done states are consistent but switch abruptly and resemble other scan tools.</t>
        </is>
      </c>
      <c r="J46" s="39" t="inlineStr">
        <is>
          <t>Keep shared workflow bones while giving Cleanup authored scan choreography, grouped result transitions, and a clear completion payoff.</t>
        </is>
      </c>
      <c r="K46" s="43" t="inlineStr">
        <is>
          <t>Sparkle spinner resolves into selected reclaimable size; completion uses one concise sweep, not confetti.</t>
        </is>
      </c>
      <c r="L46" s="40" t="inlineStr">
        <is>
          <t>Review-before-delete safety, native confirmation, diagnostics, and partial-failure disclosure.</t>
        </is>
      </c>
      <c r="M46" s="43" t="inlineStr">
        <is>
          <t>Sources/Geraldine/Features/Cleanup/CleanupView.swift:3-202; Components/ScanResultsView.swift:5-164</t>
        </is>
      </c>
      <c r="N46" s="43" t="inlineStr">
        <is>
          <t>Installed idle state verified; scan/result branches source verified</t>
        </is>
      </c>
      <c r="O46" s="41" t="inlineStr">
        <is>
          <t>Review</t>
        </is>
      </c>
      <c r="P46" s="41" t="inlineStr"/>
    </row>
    <row r="47" ht="54" customHeight="1">
      <c r="A47" s="37" t="inlineStr">
        <is>
          <t>MOD-09</t>
        </is>
      </c>
      <c r="B47" s="37" t="inlineStr">
        <is>
          <t>Modules</t>
        </is>
      </c>
      <c r="C47" s="37" t="inlineStr">
        <is>
          <t>Large and Old Files</t>
        </is>
      </c>
      <c r="D47" s="38" t="inlineStr">
        <is>
          <t>Scan setup</t>
        </is>
      </c>
      <c r="E47" s="38" t="inlineStr">
        <is>
          <t>P1</t>
        </is>
      </c>
      <c r="F47" s="38" t="inlineStr">
        <is>
          <t>Medium</t>
        </is>
      </c>
      <c r="G47" s="38" t="inlineStr">
        <is>
          <t>M</t>
        </is>
      </c>
      <c r="H47" s="38" t="inlineStr">
        <is>
          <t>Low</t>
        </is>
      </c>
      <c r="I47" s="38" t="inlineStr">
        <is>
          <t>Folder and minimum-size setup is clear but feels simpler and less authored than the strongest Geraldine surfaces.</t>
        </is>
      </c>
      <c r="J47" s="39" t="inlineStr">
        <is>
          <t>Visualize scope, improve folder and size selection, and connect setup to the later scan/result identity.</t>
        </is>
      </c>
      <c r="K47" s="38" t="inlineStr">
        <is>
          <t>Scope card can preview included root and threshold with a gentle size-scale indicator.</t>
        </is>
      </c>
      <c r="L47" s="40" t="inlineStr">
        <is>
          <t>Explicit folder picker and no-surprise deletion language.</t>
        </is>
      </c>
      <c r="M47" s="38" t="inlineStr">
        <is>
          <t>Sources/Geraldine/Features/LargeFiles/LargeFilesView.swift:3-85</t>
        </is>
      </c>
      <c r="N47" s="38" t="inlineStr">
        <is>
          <t>Installed setup state verified</t>
        </is>
      </c>
      <c r="O47" s="41" t="inlineStr">
        <is>
          <t>Review</t>
        </is>
      </c>
      <c r="P47" s="41" t="inlineStr"/>
    </row>
    <row r="48" ht="54" customHeight="1">
      <c r="A48" s="42" t="inlineStr">
        <is>
          <t>MOD-10</t>
        </is>
      </c>
      <c r="B48" s="42" t="inlineStr">
        <is>
          <t>Modules</t>
        </is>
      </c>
      <c r="C48" s="42" t="inlineStr">
        <is>
          <t>Uninstaller</t>
        </is>
      </c>
      <c r="D48" s="43" t="inlineStr">
        <is>
          <t>App browser and review</t>
        </is>
      </c>
      <c r="E48" s="43" t="inlineStr">
        <is>
          <t>P1</t>
        </is>
      </c>
      <c r="F48" s="43" t="inlineStr">
        <is>
          <t>High</t>
        </is>
      </c>
      <c r="G48" s="43" t="inlineStr">
        <is>
          <t>M</t>
        </is>
      </c>
      <c r="H48" s="43" t="inlineStr">
        <is>
          <t>Medium</t>
        </is>
      </c>
      <c r="I48" s="43" t="inlineStr">
        <is>
          <t>Real app icons help, but loading, search, cards, selection, protected apps, and transition into leftovers review remain conventional.</t>
        </is>
      </c>
      <c r="J48" s="39" t="inlineStr">
        <is>
          <t>Give icons consistent neutral outlines and plates, clearer hover and selected states, and a persistent step model from app selection through leftovers and completion.</t>
        </is>
      </c>
      <c r="K48" s="43" t="inlineStr">
        <is>
          <t>Selected app identity persists into the review sheet rather than re-entering from scratch.</t>
        </is>
      </c>
      <c r="L48" s="40" t="inlineStr">
        <is>
          <t>Protected-app safety and native uninstall confirmation.</t>
        </is>
      </c>
      <c r="M48" s="43" t="inlineStr">
        <is>
          <t>Sources/Geraldine/Features/Uninstaller/UninstallerView.swift:3-173</t>
        </is>
      </c>
      <c r="N48" s="43" t="inlineStr">
        <is>
          <t>Installed loading state verified; result and sheet source verified</t>
        </is>
      </c>
      <c r="O48" s="41" t="inlineStr">
        <is>
          <t>Review</t>
        </is>
      </c>
      <c r="P48" s="41" t="inlineStr"/>
    </row>
    <row r="49" ht="54" customHeight="1">
      <c r="A49" s="37" t="inlineStr">
        <is>
          <t>MOD-11</t>
        </is>
      </c>
      <c r="B49" s="37" t="inlineStr">
        <is>
          <t>Modules</t>
        </is>
      </c>
      <c r="C49" s="37" t="inlineStr">
        <is>
          <t>Privacy</t>
        </is>
      </c>
      <c r="D49" s="38" t="inlineStr">
        <is>
          <t>Browser data cleanup</t>
        </is>
      </c>
      <c r="E49" s="38" t="inlineStr">
        <is>
          <t>P1</t>
        </is>
      </c>
      <c r="F49" s="38" t="inlineStr">
        <is>
          <t>Medium</t>
        </is>
      </c>
      <c r="G49" s="38" t="inlineStr">
        <is>
          <t>M</t>
        </is>
      </c>
      <c r="H49" s="38" t="inlineStr">
        <is>
          <t>Low</t>
        </is>
      </c>
      <c r="I49" s="38" t="inlineStr">
        <is>
          <t>Privacy reuses Cleanup almost entirely, distinguished mainly by copy and one blue warning banner.</t>
        </is>
      </c>
      <c r="J49" s="39" t="inlineStr">
        <is>
          <t>Introduce browser identity and a clearer visual distinction between disposable caches and sensitive cookies or history.</t>
        </is>
      </c>
      <c r="K49" s="38" t="inlineStr">
        <is>
          <t>Sensitive selection changes the summary contract and icon calmly, without alarmist animation.</t>
        </is>
      </c>
      <c r="L49" s="40" t="inlineStr">
        <is>
          <t>Caches preselected, cookies and history opt-in, review-before-delete safety.</t>
        </is>
      </c>
      <c r="M49" s="38" t="inlineStr">
        <is>
          <t>Sources/Geraldine/Features/Privacy/PrivacyView.swift:3-69; Components/ScanResultsView.swift</t>
        </is>
      </c>
      <c r="N49" s="38" t="inlineStr">
        <is>
          <t>Installed idle state verified; result branches source verified</t>
        </is>
      </c>
      <c r="O49" s="41" t="inlineStr">
        <is>
          <t>Review</t>
        </is>
      </c>
      <c r="P49" s="41" t="inlineStr"/>
    </row>
    <row r="50" ht="54" customHeight="1">
      <c r="A50" s="42" t="inlineStr">
        <is>
          <t>MOD-12</t>
        </is>
      </c>
      <c r="B50" s="42" t="inlineStr">
        <is>
          <t>Modules</t>
        </is>
      </c>
      <c r="C50" s="42" t="inlineStr">
        <is>
          <t>Login Items</t>
        </is>
      </c>
      <c r="D50" s="43" t="inlineStr">
        <is>
          <t>Startup ledger</t>
        </is>
      </c>
      <c r="E50" s="43" t="inlineStr">
        <is>
          <t>P1</t>
        </is>
      </c>
      <c r="F50" s="43" t="inlineStr">
        <is>
          <t>High</t>
        </is>
      </c>
      <c r="G50" s="43" t="inlineStr">
        <is>
          <t>L</t>
        </is>
      </c>
      <c r="H50" s="43" t="inlineStr">
        <is>
          <t>Medium</t>
        </is>
      </c>
      <c r="I50" s="43" t="inlineStr">
        <is>
          <t>A stock inset list presents dense identifiers, paths, toggles, delete buttons, and locked states with limited identity or hierarchy.</t>
        </is>
      </c>
      <c r="J50" s="39" t="inlineStr">
        <is>
          <t>Create a Geraldine care ledger with stronger item identity, grouped row rhythm, hover, animated enable state, and progressive locked-state explanation.</t>
        </is>
      </c>
      <c r="K50" s="43" t="inlineStr">
        <is>
          <t>Toggle changes update status and row tone in place; removal returns a clear result after the native confirmation.</t>
        </is>
      </c>
      <c r="L50" s="40" t="inlineStr">
        <is>
          <t>User versus all-users versus system grouping and exact technical paths when needed.</t>
        </is>
      </c>
      <c r="M50" s="43" t="inlineStr">
        <is>
          <t>Sources/Geraldine/Features/LoginItems/LoginItemsView.swift:3-108</t>
        </is>
      </c>
      <c r="N50" s="43" t="inlineStr">
        <is>
          <t>Installed populated list verified</t>
        </is>
      </c>
      <c r="O50" s="41" t="inlineStr">
        <is>
          <t>Review</t>
        </is>
      </c>
      <c r="P50" s="41" t="inlineStr"/>
    </row>
    <row r="51" ht="54" customHeight="1">
      <c r="A51" s="37" t="inlineStr">
        <is>
          <t>MOD-13</t>
        </is>
      </c>
      <c r="B51" s="37" t="inlineStr">
        <is>
          <t>Modules</t>
        </is>
      </c>
      <c r="C51" s="37" t="inlineStr">
        <is>
          <t>Maintenance</t>
        </is>
      </c>
      <c r="D51" s="38" t="inlineStr">
        <is>
          <t>Task runner</t>
        </is>
      </c>
      <c r="E51" s="38" t="inlineStr">
        <is>
          <t>P1</t>
        </is>
      </c>
      <c r="F51" s="38" t="inlineStr">
        <is>
          <t>Medium</t>
        </is>
      </c>
      <c r="G51" s="38" t="inlineStr">
        <is>
          <t>M</t>
        </is>
      </c>
      <c r="H51" s="38" t="inlineStr">
        <is>
          <t>Low</t>
        </is>
      </c>
      <c r="I51" s="38" t="inlineStr">
        <is>
          <t>Task cards are clear, but idle, running, done, failed, password requirement, and output changes are abrupt.</t>
        </is>
      </c>
      <c r="J51" s="39" t="inlineStr">
        <is>
          <t>Use fixed-width stateful Run controls, local task progress, and a nearby result panel that transforms without shifting the whole card.</t>
        </is>
      </c>
      <c r="K51" s="38" t="inlineStr">
        <is>
          <t>One calm completion flash or error wash; no bounce or celebration for routine commands.</t>
        </is>
      </c>
      <c r="L51" s="40" t="inlineStr">
        <is>
          <t>Password disclosure, exact task copy, and truthful command completion.</t>
        </is>
      </c>
      <c r="M51" s="38" t="inlineStr">
        <is>
          <t>Sources/Geraldine/Features/Maintenance/MaintenanceView.swift:3-107; MaintenanceViewModel.swift:29-67</t>
        </is>
      </c>
      <c r="N51" s="38" t="inlineStr">
        <is>
          <t>Installed idle task list verified</t>
        </is>
      </c>
      <c r="O51" s="41" t="inlineStr">
        <is>
          <t>Review</t>
        </is>
      </c>
      <c r="P51" s="41" t="inlineStr"/>
    </row>
    <row r="52" ht="54" customHeight="1">
      <c r="A52" s="42" t="inlineStr">
        <is>
          <t>MOD-14</t>
        </is>
      </c>
      <c r="B52" s="42" t="inlineStr">
        <is>
          <t>Modules</t>
        </is>
      </c>
      <c r="C52" s="42" t="inlineStr">
        <is>
          <t>Updater</t>
        </is>
      </c>
      <c r="D52" s="43" t="inlineStr">
        <is>
          <t>Check and apply updates</t>
        </is>
      </c>
      <c r="E52" s="43" t="inlineStr">
        <is>
          <t>P1</t>
        </is>
      </c>
      <c r="F52" s="43" t="inlineStr">
        <is>
          <t>High</t>
        </is>
      </c>
      <c r="G52" s="43" t="inlineStr">
        <is>
          <t>M</t>
        </is>
      </c>
      <c r="H52" s="43" t="inlineStr">
        <is>
          <t>Medium</t>
        </is>
      </c>
      <c r="I52" s="43" t="inlineStr">
        <is>
          <t>Checking, Homebrew unavailable, failure, empty, update list, busy, and applied states are comprehensive but visually sparse and phase changes snap.</t>
        </is>
      </c>
      <c r="J52" s="39" t="inlineStr">
        <is>
          <t>Use real app identity where available, a persistent check/update state model, version-change emphasis, and fixed-width per-app progress actions.</t>
        </is>
      </c>
      <c r="K52" s="43" t="inlineStr">
        <is>
          <t>Package spinner resolves into app rows; completed version numbers replace contextually.</t>
        </is>
      </c>
      <c r="L52" s="40" t="inlineStr">
        <is>
          <t>Homebrew truth, error output, and no false success before commands finish.</t>
        </is>
      </c>
      <c r="M52" s="43" t="inlineStr">
        <is>
          <t>Sources/Geraldine/Features/Updater/UpdaterView.swift:3-198; UpdaterViewModel.swift:12-35</t>
        </is>
      </c>
      <c r="N52" s="43" t="inlineStr">
        <is>
          <t>Installed checking state verified; remaining branches source verified</t>
        </is>
      </c>
      <c r="O52" s="41" t="inlineStr">
        <is>
          <t>Review</t>
        </is>
      </c>
      <c r="P52" s="41" t="inlineStr"/>
    </row>
    <row r="53" ht="54" customHeight="1">
      <c r="A53" s="37" t="inlineStr">
        <is>
          <t>MOD-15</t>
        </is>
      </c>
      <c r="B53" s="37" t="inlineStr">
        <is>
          <t>Modules</t>
        </is>
      </c>
      <c r="C53" s="37" t="inlineStr">
        <is>
          <t>Permissions</t>
        </is>
      </c>
      <c r="D53" s="38" t="inlineStr">
        <is>
          <t>Readiness overview</t>
        </is>
      </c>
      <c r="E53" s="38" t="inlineStr">
        <is>
          <t>P1</t>
        </is>
      </c>
      <c r="F53" s="38" t="inlineStr">
        <is>
          <t>High</t>
        </is>
      </c>
      <c r="G53" s="38" t="inlineStr">
        <is>
          <t>M</t>
        </is>
      </c>
      <c r="H53" s="38" t="inlineStr">
        <is>
          <t>Low</t>
        </is>
      </c>
      <c r="I53" s="38" t="inlineStr">
        <is>
          <t>The page is trustworthy and clear but text-heavy, with repeated cards and feature-impact paragraphs at equal emphasis.</t>
        </is>
      </c>
      <c r="J53" s="39" t="inlineStr">
        <is>
          <t>Strengthen the readiness overview, use progressive disclosure for impact detail, and differentiate required, optional, and on-demand access.</t>
        </is>
      </c>
      <c r="K53" s="38" t="inlineStr">
        <is>
          <t>Status symbol and wash replace in place when returning from System Settings.</t>
        </is>
      </c>
      <c r="L53" s="40" t="inlineStr">
        <is>
          <t>Exact permission semantics and native System Settings handoff.</t>
        </is>
      </c>
      <c r="M53" s="38" t="inlineStr">
        <is>
          <t>Sources/Geraldine/Features/Permissions/PermissionsView.swift:59-299</t>
        </is>
      </c>
      <c r="N53" s="38" t="inlineStr">
        <is>
          <t>Installed all-ready state verified; denied states pending</t>
        </is>
      </c>
      <c r="O53" s="41" t="inlineStr">
        <is>
          <t>Review</t>
        </is>
      </c>
      <c r="P53" s="41" t="inlineStr"/>
    </row>
    <row r="54" ht="54" customHeight="1">
      <c r="A54" s="42" t="inlineStr">
        <is>
          <t>MOD-16</t>
        </is>
      </c>
      <c r="B54" s="42" t="inlineStr">
        <is>
          <t>Modules</t>
        </is>
      </c>
      <c r="C54" s="42" t="inlineStr">
        <is>
          <t>Free RAM</t>
        </is>
      </c>
      <c r="D54" s="43" t="inlineStr">
        <is>
          <t>Ready, working, result sheet</t>
        </is>
      </c>
      <c r="E54" s="43" t="inlineStr">
        <is>
          <t>P1</t>
        </is>
      </c>
      <c r="F54" s="43" t="inlineStr">
        <is>
          <t>Medium</t>
        </is>
      </c>
      <c r="G54" s="43" t="inlineStr">
        <is>
          <t>S</t>
        </is>
      </c>
      <c r="H54" s="43" t="inlineStr">
        <is>
          <t>Low</t>
        </is>
      </c>
      <c r="I54" s="43" t="inlineStr">
        <is>
          <t>The branded badge and spinner are present, but ready, working, done, and failed compositions replace abruptly on a plain sheet.</t>
        </is>
      </c>
      <c r="J54" s="39" t="inlineStr">
        <is>
          <t>Keep the memory-chip mark spatially fixed, add or withdraw the working arc, and resolve into a success or warning halo with the freed amount afterward.</t>
        </is>
      </c>
      <c r="K54" s="43" t="inlineStr">
        <is>
          <t>Roll the freed amount only after the operation returns successfully.</t>
        </is>
      </c>
      <c r="L54" s="40" t="inlineStr">
        <is>
          <t>Native sheet presentation and truthful command status.</t>
        </is>
      </c>
      <c r="M54" s="43" t="inlineStr">
        <is>
          <t>Sources/Geraldine/Features/FreeRAM/FreeRAMView.swift:12-60</t>
        </is>
      </c>
      <c r="N54" s="43" t="inlineStr">
        <is>
          <t>Source verified; live sheet pending</t>
        </is>
      </c>
      <c r="O54" s="41" t="inlineStr">
        <is>
          <t>Review</t>
        </is>
      </c>
      <c r="P54" s="41" t="inlineStr"/>
    </row>
    <row r="55" ht="54" customHeight="1">
      <c r="A55" s="37" t="inlineStr">
        <is>
          <t>MOD-17</t>
        </is>
      </c>
      <c r="B55" s="37" t="inlineStr">
        <is>
          <t>Modules</t>
        </is>
      </c>
      <c r="C55" s="37" t="inlineStr">
        <is>
          <t>Connected Devices</t>
        </is>
      </c>
      <c r="D55" s="38" t="inlineStr">
        <is>
          <t>Device card</t>
        </is>
      </c>
      <c r="E55" s="38" t="inlineStr">
        <is>
          <t>P2</t>
        </is>
      </c>
      <c r="F55" s="38" t="inlineStr">
        <is>
          <t>Medium</t>
        </is>
      </c>
      <c r="G55" s="38" t="inlineStr">
        <is>
          <t>M</t>
        </is>
      </c>
      <c r="H55" s="38" t="inlineStr">
        <is>
          <t>Low</t>
        </is>
      </c>
      <c r="I55" s="38" t="inlineStr">
        <is>
          <t>Scanning, empty, expanded list, battery warning, and eject error use utilitarian rows with abrupt arrivals and removals.</t>
        </is>
      </c>
      <c r="J55" s="39" t="inlineStr">
        <is>
          <t>Give drives, Bluetooth, and iOS devices distinct but quiet identity; animate arrival/removal locally and make eject progress and failure explicit.</t>
        </is>
      </c>
      <c r="K55" s="38" t="inlineStr">
        <is>
          <t>Battery indicators update gently; no broad list stagger.</t>
        </is>
      </c>
      <c r="L55" s="40" t="inlineStr">
        <is>
          <t>Compact fixed card and truthful device data.</t>
        </is>
      </c>
      <c r="M55" s="38" t="inlineStr">
        <is>
          <t>Sources/Geraldine/MenuBar/NetworkPanel.swift:7-95</t>
        </is>
      </c>
      <c r="N55" s="38" t="inlineStr">
        <is>
          <t>Source verified; device-state runtime pending</t>
        </is>
      </c>
      <c r="O55" s="41" t="inlineStr">
        <is>
          <t>Review</t>
        </is>
      </c>
      <c r="P55" s="41" t="inlineStr"/>
    </row>
    <row r="56" ht="54" customHeight="1">
      <c r="A56" s="42" t="inlineStr">
        <is>
          <t>MOD-18</t>
        </is>
      </c>
      <c r="B56" s="42" t="inlineStr">
        <is>
          <t>Modules</t>
        </is>
      </c>
      <c r="C56" s="42" t="inlineStr">
        <is>
          <t>Network widget</t>
        </is>
      </c>
      <c r="D56" s="43" t="inlineStr">
        <is>
          <t>Connection and speed test</t>
        </is>
      </c>
      <c r="E56" s="43" t="inlineStr">
        <is>
          <t>P1</t>
        </is>
      </c>
      <c r="F56" s="43" t="inlineStr">
        <is>
          <t>High</t>
        </is>
      </c>
      <c r="G56" s="43" t="inlineStr">
        <is>
          <t>M</t>
        </is>
      </c>
      <c r="H56" s="43" t="inlineStr">
        <is>
          <t>Medium</t>
        </is>
      </c>
      <c r="I56" s="43" t="inlineStr">
        <is>
          <t>The widget is information-rich but crowded; offline, Location-limited SSID, security, signal, speed phases, success, and failure change abruptly.</t>
        </is>
      </c>
      <c r="J56" s="39" t="inlineStr">
        <is>
          <t>Clarify the speed-test progression and connection hierarchy, with elegant permission and offline transitions that never hide what remains available.</t>
        </is>
      </c>
      <c r="K56" s="43" t="inlineStr">
        <is>
          <t>Download and upload test phases advance through one stable control rather than resizing labels.</t>
        </is>
      </c>
      <c r="L56" s="40" t="inlineStr">
        <is>
          <t>Cloudflare backend, connection truth, live traffic, and dual-line chart.</t>
        </is>
      </c>
      <c r="M56" s="43" t="inlineStr">
        <is>
          <t>Sources/Geraldine/MenuBar/MetricWidgets.swift:473-624; Services/NetworkInfo.swift:19-68</t>
        </is>
      </c>
      <c r="N56" s="43" t="inlineStr">
        <is>
          <t>Source verified; full connection-state matrix pending</t>
        </is>
      </c>
      <c r="O56" s="41" t="inlineStr">
        <is>
          <t>Review</t>
        </is>
      </c>
      <c r="P56" s="41" t="inlineStr"/>
    </row>
    <row r="57" ht="54" customHeight="1">
      <c r="A57" s="37" t="inlineStr">
        <is>
          <t>STS-01</t>
        </is>
      </c>
      <c r="B57" s="37" t="inlineStr">
        <is>
          <t>Shared states</t>
        </is>
      </c>
      <c r="C57" s="37" t="inlineStr">
        <is>
          <t>Workflows</t>
        </is>
      </c>
      <c r="D57" s="38" t="inlineStr">
        <is>
          <t>Phase host</t>
        </is>
      </c>
      <c r="E57" s="38" t="inlineStr">
        <is>
          <t>P0</t>
        </is>
      </c>
      <c r="F57" s="38" t="inlineStr">
        <is>
          <t>High</t>
        </is>
      </c>
      <c r="G57" s="38" t="inlineStr">
        <is>
          <t>M</t>
        </is>
      </c>
      <c r="H57" s="38" t="inlineStr">
        <is>
          <t>Medium</t>
        </is>
      </c>
      <c r="I57" s="38" t="inlineStr">
        <is>
          <t>Idle, loading, result, empty, error, done, and retry branches across tools replace whole layouts with no explicit continuity.</t>
        </is>
      </c>
      <c r="J57" s="39" t="inlineStr">
        <is>
          <t>Create a scoped phase host with explicit, interruptible enter and softer exit transitions. Let the central working icon resolve into success or warning.</t>
        </is>
      </c>
      <c r="K57" s="38" t="inlineStr">
        <is>
          <t>Shared Geraldine workflow signature with module-specific icon and color, not identical screens.</t>
        </is>
      </c>
      <c r="L57" s="40" t="inlineStr">
        <is>
          <t>Data appears immediately; long lists never wait for decorative staggering.</t>
        </is>
      </c>
      <c r="M57" s="38" t="inlineStr">
        <is>
          <t>CleanupView.swift:17-59; SmartCareView.swift:239-291; FreeRAMView.swift:21-45; similar feature branches</t>
        </is>
      </c>
      <c r="N57" s="38" t="inlineStr">
        <is>
          <t>Source and several installed phases verified</t>
        </is>
      </c>
      <c r="O57" s="41" t="inlineStr">
        <is>
          <t>Review</t>
        </is>
      </c>
      <c r="P57" s="41" t="inlineStr"/>
    </row>
    <row r="58" ht="54" customHeight="1">
      <c r="A58" s="42" t="inlineStr">
        <is>
          <t>STS-02</t>
        </is>
      </c>
      <c r="B58" s="42" t="inlineStr">
        <is>
          <t>Shared states</t>
        </is>
      </c>
      <c r="C58" s="42" t="inlineStr">
        <is>
          <t>Selection</t>
        </is>
      </c>
      <c r="D58" s="43" t="inlineStr">
        <is>
          <t>Scan and queue selection</t>
        </is>
      </c>
      <c r="E58" s="43" t="inlineStr">
        <is>
          <t>P1</t>
        </is>
      </c>
      <c r="F58" s="43" t="inlineStr">
        <is>
          <t>Medium</t>
        </is>
      </c>
      <c r="G58" s="43" t="inlineStr">
        <is>
          <t>M</t>
        </is>
      </c>
      <c r="H58" s="43" t="inlineStr">
        <is>
          <t>Low</t>
        </is>
      </c>
      <c r="I58" s="43" t="inlineStr">
        <is>
          <t>Check, plus, total copy, button enabled state, and queued cards snap when selection changes.</t>
        </is>
      </c>
      <c r="J58" s="39" t="inlineStr">
        <is>
          <t>Contextually replace icons, tint the selected row edge, roll count and size totals once, and insert or remove the queued summary with a short clipped transition.</t>
        </is>
      </c>
      <c r="K58" s="43" t="inlineStr">
        <is>
          <t>Select All remains bounded and does not animate thousands of offscreen rows.</t>
        </is>
      </c>
      <c r="L58" s="40" t="inlineStr">
        <is>
          <t>Immediate selection state and accessibility labels.</t>
        </is>
      </c>
      <c r="M58" s="43" t="inlineStr">
        <is>
          <t>Sources/Geraldine/Components/ScanResultsView.swift:42-103; SmartCareView.swift:348-425</t>
        </is>
      </c>
      <c r="N58" s="43" t="inlineStr">
        <is>
          <t>Source verified</t>
        </is>
      </c>
      <c r="O58" s="41" t="inlineStr">
        <is>
          <t>Review</t>
        </is>
      </c>
      <c r="P58" s="41" t="inlineStr"/>
    </row>
    <row r="59" ht="54" customHeight="1">
      <c r="A59" s="37" t="inlineStr">
        <is>
          <t>STS-03</t>
        </is>
      </c>
      <c r="B59" s="37" t="inlineStr">
        <is>
          <t>Shared states</t>
        </is>
      </c>
      <c r="C59" s="37" t="inlineStr">
        <is>
          <t>Lists</t>
        </is>
      </c>
      <c r="D59" s="38" t="inlineStr">
        <is>
          <t>Care ledger</t>
        </is>
      </c>
      <c r="E59" s="38" t="inlineStr">
        <is>
          <t>P1</t>
        </is>
      </c>
      <c r="F59" s="38" t="inlineStr">
        <is>
          <t>High</t>
        </is>
      </c>
      <c r="G59" s="38" t="inlineStr">
        <is>
          <t>L</t>
        </is>
      </c>
      <c r="H59" s="38" t="inlineStr">
        <is>
          <t>Medium</t>
        </is>
      </c>
      <c r="I59" s="38" t="inlineStr">
        <is>
          <t>Scan Results, Login Items, and Time Zone Picker rely on stock inset lists and inherit generic row treatment.</t>
        </is>
      </c>
      <c r="J59" s="39" t="inlineStr">
        <is>
          <t>Create a reusable care-ledger row system with grouped soft surfaces, clear rhythm, hover, selection, status, and optional sticky action summary.</t>
        </is>
      </c>
      <c r="K59" s="38" t="inlineStr">
        <is>
          <t>Rows respond locally; scrolling and large-data performance remain native.</t>
        </is>
      </c>
      <c r="L59" s="40" t="inlineStr">
        <is>
          <t>List semantics, keyboard navigation, and virtualization.</t>
        </is>
      </c>
      <c r="M59" s="38" t="inlineStr">
        <is>
          <t>Sources/Geraldine/Components/ScanResultsView.swift:25-36; LoginItemsView.swift:38-48; CalendarSettingsView.swift:244-272</t>
        </is>
      </c>
      <c r="N59" s="38" t="inlineStr">
        <is>
          <t>Source and populated Login Items verified</t>
        </is>
      </c>
      <c r="O59" s="41" t="inlineStr">
        <is>
          <t>Review</t>
        </is>
      </c>
      <c r="P59" s="41" t="inlineStr"/>
    </row>
    <row r="60" ht="54" customHeight="1">
      <c r="A60" s="42" t="inlineStr">
        <is>
          <t>STS-04</t>
        </is>
      </c>
      <c r="B60" s="42" t="inlineStr">
        <is>
          <t>Shared states</t>
        </is>
      </c>
      <c r="C60" s="42" t="inlineStr">
        <is>
          <t>Dialogs</t>
        </is>
      </c>
      <c r="D60" s="43" t="inlineStr">
        <is>
          <t>Destructive confirmation return</t>
        </is>
      </c>
      <c r="E60" s="43" t="inlineStr">
        <is>
          <t>P2</t>
        </is>
      </c>
      <c r="F60" s="43" t="inlineStr">
        <is>
          <t>Medium</t>
        </is>
      </c>
      <c r="G60" s="43" t="inlineStr">
        <is>
          <t>S</t>
        </is>
      </c>
      <c r="H60" s="43" t="inlineStr">
        <is>
          <t>Low</t>
        </is>
      </c>
      <c r="I60" s="43" t="inlineStr">
        <is>
          <t>Native confirmations are safe but visually outside Geraldine, and the returning screen often changes abruptly after confirmation.</t>
        </is>
      </c>
      <c r="J60" s="39" t="inlineStr">
        <is>
          <t>Keep native alerts. Improve the branded lead-in and make the owning row or card visibly resolve after cancel, success, or failure.</t>
        </is>
      </c>
      <c r="K60" s="43" t="inlineStr">
        <is>
          <t>One localized status wash, never a custom imitation of a system warning.</t>
        </is>
      </c>
      <c r="L60" s="40" t="inlineStr">
        <is>
          <t>System-owned wording, keyboard behavior, and destructive role.</t>
        </is>
      </c>
      <c r="M60" s="43" t="inlineStr">
        <is>
          <t>CleanupView.swift:61-67; PrivacyView.swift:61-67; LoginItemsView.swift:54-66; MaintenanceView.swift:23-36; UninstallerView.swift:166-172</t>
        </is>
      </c>
      <c r="N60" s="43" t="inlineStr">
        <is>
          <t>Source verified; live confirmations intentionally not triggered</t>
        </is>
      </c>
      <c r="O60" s="41" t="inlineStr">
        <is>
          <t>Review</t>
        </is>
      </c>
      <c r="P60" s="41" t="inlineStr"/>
    </row>
    <row r="61" ht="54" customHeight="1">
      <c r="A61" s="37" t="inlineStr">
        <is>
          <t>STS-05</t>
        </is>
      </c>
      <c r="B61" s="37" t="inlineStr">
        <is>
          <t>Shared states</t>
        </is>
      </c>
      <c r="C61" s="37" t="inlineStr">
        <is>
          <t>System handoff</t>
        </is>
      </c>
      <c r="D61" s="38" t="inlineStr">
        <is>
          <t>External native surfaces</t>
        </is>
      </c>
      <c r="E61" s="38" t="inlineStr">
        <is>
          <t>P2</t>
        </is>
      </c>
      <c r="F61" s="38" t="inlineStr">
        <is>
          <t>Medium</t>
        </is>
      </c>
      <c r="G61" s="38" t="inlineStr">
        <is>
          <t>S</t>
        </is>
      </c>
      <c r="H61" s="38" t="inlineStr">
        <is>
          <t>Low</t>
        </is>
      </c>
      <c r="I61" s="38" t="inlineStr">
        <is>
          <t>Folder pickers, password prompts, System Settings, and Finder reveal are correctly native, but transitions back into Geraldine are not consistently acknowledged.</t>
        </is>
      </c>
      <c r="J61" s="39" t="inlineStr">
        <is>
          <t>Audit handoff copy and return-state feedback; never visually clone or replace system-owned surfaces.</t>
        </is>
      </c>
      <c r="K61" s="38" t="inlineStr">
        <is>
          <t>Subtle reacquisition highlight on the affected card after return.</t>
        </is>
      </c>
      <c r="L61" s="40" t="inlineStr">
        <is>
          <t>Native ownership and security boundaries.</t>
        </is>
      </c>
      <c r="M61" s="38" t="inlineStr">
        <is>
          <t>LargeFilesViewModel.swift:29-35; SpaceLensViewModel.swift:126-130; Services/PowerTools.swift:745-751</t>
        </is>
      </c>
      <c r="N61" s="38" t="inlineStr">
        <is>
          <t>Source verified</t>
        </is>
      </c>
      <c r="O61" s="41" t="inlineStr">
        <is>
          <t>Review</t>
        </is>
      </c>
      <c r="P61" s="41" t="inlineStr"/>
    </row>
    <row r="62" ht="54" customHeight="1">
      <c r="A62" s="42" t="inlineStr">
        <is>
          <t>STS-06</t>
        </is>
      </c>
      <c r="B62" s="42" t="inlineStr">
        <is>
          <t>Shared states</t>
        </is>
      </c>
      <c r="C62" s="42" t="inlineStr">
        <is>
          <t>Performance</t>
        </is>
      </c>
      <c r="D62" s="43" t="inlineStr">
        <is>
          <t>Hidden and repeating animation lifecycle</t>
        </is>
      </c>
      <c r="E62" s="43" t="inlineStr">
        <is>
          <t>P0</t>
        </is>
      </c>
      <c r="F62" s="43" t="inlineStr">
        <is>
          <t>High</t>
        </is>
      </c>
      <c r="G62" s="43" t="inlineStr">
        <is>
          <t>M</t>
        </is>
      </c>
      <c r="H62" s="43" t="inlineStr">
        <is>
          <t>Medium</t>
        </is>
      </c>
      <c r="I62" s="43" t="inlineStr">
        <is>
          <t>The popover hosting controller persists, while eye and spinner animations repeat forever and may continue when their surfaces are hidden.</t>
        </is>
      </c>
      <c r="J62" s="39" t="inlineStr">
        <is>
          <t>Pass explicit visibility and pause decorative repeats or timeline ticks while hidden; retain the status-item display link’s existing paused behavior.</t>
        </is>
      </c>
      <c r="K62" s="43" t="inlineStr">
        <is>
          <t>Resume cleanly without replaying an entrance every time.</t>
        </is>
      </c>
      <c r="L62" s="40" t="inlineStr">
        <is>
          <t>Live monitoring data collection where product behavior requires it.</t>
        </is>
      </c>
      <c r="M62" s="43" t="inlineStr">
        <is>
          <t>Sources/Geraldine/MenuBar/MenuBarController.swift:34-49; DesignSystem/EyeView.swift:78-83; Components.swift:378-399</t>
        </is>
      </c>
      <c r="N62" s="43" t="inlineStr">
        <is>
          <t>Source verified; Energy Log pending</t>
        </is>
      </c>
      <c r="O62" s="41" t="inlineStr">
        <is>
          <t>Review</t>
        </is>
      </c>
      <c r="P62" s="41" t="inlineStr"/>
    </row>
  </sheetData>
  <mergeCells count="3">
    <mergeCell ref="A1:P1"/>
    <mergeCell ref="A3:P3"/>
    <mergeCell ref="A2:P2"/>
  </mergeCells>
  <conditionalFormatting sqref="E7:E62">
    <cfRule type="expression" priority="1" dxfId="0">
      <formula>$E7="P0"</formula>
    </cfRule>
    <cfRule type="expression" priority="2" dxfId="1">
      <formula>$E7="P1"</formula>
    </cfRule>
    <cfRule type="expression" priority="3" dxfId="2">
      <formula>$E7="P2"</formula>
    </cfRule>
  </conditionalFormatting>
  <conditionalFormatting sqref="O7:O62">
    <cfRule type="expression" priority="4" dxfId="1">
      <formula>$O7="Review"</formula>
    </cfRule>
    <cfRule type="expression" priority="5" dxfId="3">
      <formula>$O7="Approve"</formula>
    </cfRule>
    <cfRule type="expression" priority="6" dxfId="4">
      <formula>$O7="Defer"</formula>
    </cfRule>
    <cfRule type="expression" priority="7" dxfId="0">
      <formula>$O7="Reject"</formula>
    </cfRule>
  </conditionalFormatting>
  <conditionalFormatting sqref="H7:H62">
    <cfRule type="expression" priority="8" dxfId="0">
      <formula>$H7="High"</formula>
    </cfRule>
    <cfRule type="expression" priority="9" dxfId="4">
      <formula>$H7="Medium"</formula>
    </cfRule>
    <cfRule type="expression" priority="10" dxfId="3">
      <formula>$H7="Low"</formula>
    </cfRule>
  </conditionalFormatting>
  <conditionalFormatting sqref="B7:B62">
    <cfRule type="expression" priority="11" dxfId="1">
      <formula>$B7="Foundation"</formula>
    </cfRule>
    <cfRule type="expression" priority="12" dxfId="5">
      <formula>$B7="Shell"</formula>
    </cfRule>
    <cfRule type="expression" priority="13" dxfId="3">
      <formula>$B7="Modules"</formula>
    </cfRule>
    <cfRule type="expression" priority="14" dxfId="6">
      <formula>$B7="Signature"</formula>
    </cfRule>
    <cfRule type="expression" priority="15" dxfId="2">
      <formula>$B7="Shared States"</formula>
    </cfRule>
  </conditionalFormatting>
  <dataValidations count="1">
    <dataValidation sqref="O7:O62" showDropDown="0" showInputMessage="1" showErrorMessage="1" allowBlank="0" errorTitle="Choose a listed status" error="Use the dropdown to keep review status consistent." promptTitle="Review decision" prompt="Choose Review, Approve, Defer, or Reject." type="list" errorStyle="stop">
      <formula1>"Review,Approve,Defer,Reject"</formula1>
    </dataValidation>
  </dataValidations>
  <hyperlinks>
    <hyperlink xmlns:r="http://schemas.openxmlformats.org/officeDocument/2006/relationships" ref="A4" r:id="rId1"/>
    <hyperlink xmlns:r="http://schemas.openxmlformats.org/officeDocument/2006/relationships" ref="C4" r:id="rId2"/>
    <hyperlink xmlns:r="http://schemas.openxmlformats.org/officeDocument/2006/relationships" ref="E4" r:id="rId3"/>
    <hyperlink xmlns:r="http://schemas.openxmlformats.org/officeDocument/2006/relationships" ref="G4" r:id="rId4"/>
    <hyperlink xmlns:r="http://schemas.openxmlformats.org/officeDocument/2006/relationships" ref="I4" r:id="rId5"/>
  </hyperlinks>
  <pageMargins left="0.25" right="0.25" top="0.4" bottom="0.4" header="0.5" footer="0.5"/>
  <pageSetup fitToHeight="0" fitToWidth="1"/>
  <headerFooter>
    <oddHeader>&amp;C&amp;9 &amp;K667085Geraldine Visual Audit</oddHeader>
    <oddFooter>&amp;LRead-only audit · no app code changed&amp;RPage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6"/>
  </tableParts>
</worksheet>
</file>

<file path=xl/worksheets/sheet3.xml><?xml version="1.0" encoding="utf-8"?>
<worksheet xmlns="http://schemas.openxmlformats.org/spreadsheetml/2006/main">
  <sheetPr>
    <tabColor rgb="004A7DFF"/>
    <outlinePr summaryBelow="1" summaryRight="1"/>
    <pageSetUpPr fitToPage="1"/>
  </sheetPr>
  <dimension ref="A1:K41"/>
  <sheetViews>
    <sheetView showGridLines="0" zoomScale="82" workbookViewId="0">
      <pane xSplit="3" ySplit="6" topLeftCell="D7" activePane="bottomRight" state="frozen"/>
      <selection pane="topRight" activeCell="A1" sqref="A1"/>
      <selection pane="bottomLeft"/>
      <selection pane="bottomRight" activeCell="A1" sqref="A1"/>
    </sheetView>
  </sheetViews>
  <sheetFormatPr baseColWidth="8" defaultRowHeight="15"/>
  <cols>
    <col width="10" customWidth="1" min="1" max="1"/>
    <col width="18" customWidth="1" min="2" max="2"/>
    <col width="24" customWidth="1" min="3" max="3"/>
    <col width="38" customWidth="1" min="4" max="4"/>
    <col width="30" customWidth="1" min="5" max="5"/>
    <col width="28" customWidth="1" min="6" max="6"/>
    <col width="42" customWidth="1" min="7" max="7"/>
    <col width="38" customWidth="1" min="8" max="8"/>
    <col width="34" customWidth="1" min="9" max="9"/>
    <col width="20" customWidth="1" min="10" max="10"/>
    <col width="36" customWidth="1" min="11" max="11"/>
  </cols>
  <sheetData>
    <row r="1" ht="6" customHeight="1">
      <c r="A1" s="1" t="n"/>
    </row>
    <row r="2" ht="34" customHeight="1">
      <c r="A2" s="2" t="inlineStr">
        <is>
          <t>Surface Inventory</t>
        </is>
      </c>
    </row>
    <row r="3" ht="28" customHeight="1">
      <c r="A3" s="3" t="inlineStr">
        <is>
          <t>Every user-visible surface and state, current character, runtime evidence, improvement opportunity, and remaining verification</t>
        </is>
      </c>
    </row>
    <row r="4" ht="22" customHeight="1">
      <c r="A4" s="4" t="inlineStr">
        <is>
          <t>Overview</t>
        </is>
      </c>
      <c r="B4" s="5" t="n"/>
      <c r="C4" s="4" t="inlineStr">
        <is>
          <t>Master Backlog</t>
        </is>
      </c>
      <c r="D4" s="5" t="n"/>
      <c r="E4" s="4" t="inlineStr">
        <is>
          <t>Surface Inventory</t>
        </is>
      </c>
      <c r="F4" s="5" t="n"/>
      <c r="G4" s="4" t="inlineStr">
        <is>
          <t>Motion &amp; A11y</t>
        </is>
      </c>
      <c r="H4" s="5" t="n"/>
      <c r="I4" s="4" t="inlineStr">
        <is>
          <t>Rollout Gates</t>
        </is>
      </c>
      <c r="J4" s="5" t="n"/>
      <c r="K4" s="5" t="n"/>
    </row>
    <row r="5" ht="8" customHeight="1"/>
    <row r="6" ht="32" customHeight="1">
      <c r="A6" s="36" t="inlineStr">
        <is>
          <t>ID</t>
        </is>
      </c>
      <c r="B6" s="36" t="inlineStr">
        <is>
          <t>Domain</t>
        </is>
      </c>
      <c r="C6" s="36" t="inlineStr">
        <is>
          <t>Surface</t>
        </is>
      </c>
      <c r="D6" s="36" t="inlineStr">
        <is>
          <t>States</t>
        </is>
      </c>
      <c r="E6" s="36" t="inlineStr">
        <is>
          <t>Current Character</t>
        </is>
      </c>
      <c r="F6" s="36" t="inlineStr">
        <is>
          <t>Runtime Coverage</t>
        </is>
      </c>
      <c r="G6" s="36" t="inlineStr">
        <is>
          <t>Opportunity</t>
        </is>
      </c>
      <c r="H6" s="36" t="inlineStr">
        <is>
          <t>Evidence</t>
        </is>
      </c>
      <c r="I6" s="36" t="inlineStr">
        <is>
          <t>Verify Next</t>
        </is>
      </c>
      <c r="J6" s="36" t="inlineStr">
        <is>
          <t>Verification Status · INPUT</t>
        </is>
      </c>
      <c r="K6" s="36" t="inlineStr">
        <is>
          <t>Verification Note · INPUT</t>
        </is>
      </c>
    </row>
    <row r="7" ht="54" customHeight="1">
      <c r="A7" s="37" t="inlineStr">
        <is>
          <t>SUR-01</t>
        </is>
      </c>
      <c r="B7" s="37" t="inlineStr">
        <is>
          <t>App shell</t>
        </is>
      </c>
      <c r="C7" s="38" t="inlineStr">
        <is>
          <t>Main window</t>
        </is>
      </c>
      <c r="D7" s="38" t="inlineStr">
        <is>
          <t>Hidden title bar, minimum 920x620, resized, sidebar shown/hidden</t>
        </is>
      </c>
      <c r="E7" s="38" t="inlineStr">
        <is>
          <t>Quiet native split view with two-tone wash</t>
        </is>
      </c>
      <c r="F7" s="38" t="inlineStr">
        <is>
          <t>Captured installed app</t>
        </is>
      </c>
      <c r="G7" s="38" t="inlineStr">
        <is>
          <t>Shared scaffold, adaptive depth, module aura, navigation continuity</t>
        </is>
      </c>
      <c r="H7" s="38" t="inlineStr">
        <is>
          <t>GeraldineApp.swift:9-21; RootView.swift:7-18,140-152</t>
        </is>
      </c>
      <c r="I7" s="44" t="inlineStr">
        <is>
          <t>Minimum and expanded sizes; light mode; Increased Contrast</t>
        </is>
      </c>
      <c r="J7" s="41" t="inlineStr">
        <is>
          <t>Not Reviewed</t>
        </is>
      </c>
      <c r="K7" s="41" t="inlineStr"/>
    </row>
    <row r="8" ht="54" customHeight="1">
      <c r="A8" s="42" t="inlineStr">
        <is>
          <t>SUR-02</t>
        </is>
      </c>
      <c r="B8" s="42" t="inlineStr">
        <is>
          <t>App shell</t>
        </is>
      </c>
      <c r="C8" s="43" t="inlineStr">
        <is>
          <t>Sidebar</t>
        </is>
      </c>
      <c r="D8" s="43" t="inlineStr">
        <is>
          <t>Three groups, selection, keyboard focus, narrow width, disk thresholds</t>
        </is>
      </c>
      <c r="E8" s="43" t="inlineStr">
        <is>
          <t>Branded header and colored icons inside stock sidebar</t>
        </is>
      </c>
      <c r="F8" s="43" t="inlineStr">
        <is>
          <t>Captured installed app</t>
        </is>
      </c>
      <c r="G8" s="43" t="inlineStr">
        <is>
          <t>Selection rail or plate, hover, icon plates, livelier disk footer</t>
        </is>
      </c>
      <c r="H8" s="43" t="inlineStr">
        <is>
          <t>RootView.swift:22-104; Module.swift:117-134</t>
        </is>
      </c>
      <c r="I8" s="44" t="inlineStr">
        <is>
          <t>Keyboard focus and narrow width</t>
        </is>
      </c>
      <c r="J8" s="41" t="inlineStr">
        <is>
          <t>Not Reviewed</t>
        </is>
      </c>
      <c r="K8" s="41" t="inlineStr"/>
    </row>
    <row r="9" ht="54" customHeight="1">
      <c r="A9" s="37" t="inlineStr">
        <is>
          <t>SUR-03</t>
        </is>
      </c>
      <c r="B9" s="37" t="inlineStr">
        <is>
          <t>App shell</t>
        </is>
      </c>
      <c r="C9" s="38" t="inlineStr">
        <is>
          <t>Onboarding sheet</t>
        </is>
      </c>
      <c r="D9" s="38" t="inlineStr">
        <is>
          <t>Welcome, permission ready/missing/optional, completion</t>
        </is>
      </c>
      <c r="E9" s="38" t="inlineStr">
        <is>
          <t>Long repeated-card checklist</t>
        </is>
      </c>
      <c r="F9" s="38" t="inlineStr">
        <is>
          <t>Source only</t>
        </is>
      </c>
      <c r="G9" s="38" t="inlineStr">
        <is>
          <t>Four-stage setup with preview and completion payoff</t>
        </is>
      </c>
      <c r="H9" s="38" t="inlineStr">
        <is>
          <t>Onboarding.swift:5-250</t>
        </is>
      </c>
      <c r="I9" s="44" t="inlineStr">
        <is>
          <t>Fresh first run on 680x720 and smaller display</t>
        </is>
      </c>
      <c r="J9" s="41" t="inlineStr">
        <is>
          <t>Not Reviewed</t>
        </is>
      </c>
      <c r="K9" s="41" t="inlineStr"/>
    </row>
    <row r="10" ht="54" customHeight="1">
      <c r="A10" s="42" t="inlineStr">
        <is>
          <t>SUR-04</t>
        </is>
      </c>
      <c r="B10" s="42" t="inlineStr">
        <is>
          <t>Settings</t>
        </is>
      </c>
      <c r="C10" s="43" t="inlineStr">
        <is>
          <t>Main-window Settings</t>
        </is>
      </c>
      <c r="D10" s="43" t="inlineStr">
        <is>
          <t>App presence, Keep Awake defaults, startup, build info</t>
        </is>
      </c>
      <c r="E10" s="43" t="inlineStr">
        <is>
          <t>Uniform card and form stack</t>
        </is>
      </c>
      <c r="F10" s="43" t="inlineStr">
        <is>
          <t>Captured installed app</t>
        </is>
      </c>
      <c r="G10" s="43" t="inlineStr">
        <is>
          <t>Preview-led canonical preference language</t>
        </is>
      </c>
      <c r="H10" s="43" t="inlineStr">
        <is>
          <t>SettingsView.swift:19-69,82-156,206-231</t>
        </is>
      </c>
      <c r="I10" s="44" t="inlineStr">
        <is>
          <t>Launch-at-login failure</t>
        </is>
      </c>
      <c r="J10" s="41" t="inlineStr">
        <is>
          <t>Not Reviewed</t>
        </is>
      </c>
      <c r="K10" s="41" t="inlineStr"/>
    </row>
    <row r="11" ht="54" customHeight="1">
      <c r="A11" s="37" t="inlineStr">
        <is>
          <t>SUR-05</t>
        </is>
      </c>
      <c r="B11" s="37" t="inlineStr">
        <is>
          <t>Settings</t>
        </is>
      </c>
      <c r="C11" s="38" t="inlineStr">
        <is>
          <t>Native Settings window</t>
        </is>
      </c>
      <c r="D11" s="38" t="inlineStr">
        <is>
          <t>General, Keep Awake, Permissions, About tabs</t>
        </is>
      </c>
      <c r="E11" s="38" t="inlineStr">
        <is>
          <t>Stock TabView and grouped Form; visually separate from main app</t>
        </is>
      </c>
      <c r="F11" s="38" t="inlineStr">
        <is>
          <t>All four tabs captured</t>
        </is>
      </c>
      <c r="G11" s="38" t="inlineStr">
        <is>
          <t>Consolidate IA and apply Geraldine surface system</t>
        </is>
      </c>
      <c r="H11" s="38" t="inlineStr">
        <is>
          <t>GeraldineApp.swift:26-32; SettingsView.swift:3-204</t>
        </is>
      </c>
      <c r="I11" s="44" t="inlineStr">
        <is>
          <t>Tab keyboard navigation and window resizing</t>
        </is>
      </c>
      <c r="J11" s="41" t="inlineStr">
        <is>
          <t>Not Reviewed</t>
        </is>
      </c>
      <c r="K11" s="41" t="inlineStr"/>
    </row>
    <row r="12" ht="54" customHeight="1">
      <c r="A12" s="42" t="inlineStr">
        <is>
          <t>SUR-06</t>
        </is>
      </c>
      <c r="B12" s="42" t="inlineStr">
        <is>
          <t>Menu bar</t>
        </is>
      </c>
      <c r="C12" s="43" t="inlineStr">
        <is>
          <t>Status item</t>
        </is>
      </c>
      <c r="D12" s="43" t="inlineStr">
        <is>
          <t>Temperature, CPU, memory, network, battery/power, storage, thermal unavailable</t>
        </is>
      </c>
      <c r="E12" s="43" t="inlineStr">
        <is>
          <t>Highly bespoke fixed-width sparkline or glyph with rolling digits</t>
        </is>
      </c>
      <c r="F12" s="43" t="inlineStr">
        <is>
          <t>Source verified; direct capture blocked</t>
        </is>
      </c>
      <c r="G12" s="43" t="inlineStr">
        <is>
          <t>Reduce Motion, interruption-safe retarget, restrained cross-metric morph</t>
        </is>
      </c>
      <c r="H12" s="43" t="inlineStr">
        <is>
          <t>MenuBarController.swift:85-216,316-577</t>
        </is>
      </c>
      <c r="I12" s="44" t="inlineStr">
        <is>
          <t>Mandatory notch, light/dark menu bar, kind changes, anchor</t>
        </is>
      </c>
      <c r="J12" s="41" t="inlineStr">
        <is>
          <t>Not Reviewed</t>
        </is>
      </c>
      <c r="K12" s="41" t="inlineStr"/>
    </row>
    <row r="13" ht="54" customHeight="1">
      <c r="A13" s="37" t="inlineStr">
        <is>
          <t>SUR-07</t>
        </is>
      </c>
      <c r="B13" s="37" t="inlineStr">
        <is>
          <t>Menu bar</t>
        </is>
      </c>
      <c r="C13" s="38" t="inlineStr">
        <is>
          <t>Popover shell</t>
        </is>
      </c>
      <c r="D13" s="38" t="inlineStr">
        <is>
          <t>Open/close, tall/short display, scrolling, dynamic height</t>
        </is>
      </c>
      <c r="E13" s="38" t="inlineStr">
        <is>
          <t>Compact dense 320-point utility panel</t>
        </is>
      </c>
      <c r="F13" s="38" t="inlineStr">
        <is>
          <t>Source verified; direct capture blocked</t>
        </is>
      </c>
      <c r="G13" s="38" t="inlineStr">
        <is>
          <t>Section rhythm and two-to-three-group internal reveal</t>
        </is>
      </c>
      <c r="H13" s="38" t="inlineStr">
        <is>
          <t>MenuBarView.swift:18-135; MenuBarController.swift:34-49</t>
        </is>
      </c>
      <c r="I13" s="44" t="inlineStr">
        <is>
          <t>Mandatory live open/close and anchor</t>
        </is>
      </c>
      <c r="J13" s="41" t="inlineStr">
        <is>
          <t>Not Reviewed</t>
        </is>
      </c>
      <c r="K13" s="41" t="inlineStr"/>
    </row>
    <row r="14" ht="54" customHeight="1">
      <c r="A14" s="42" t="inlineStr">
        <is>
          <t>SUR-08</t>
        </is>
      </c>
      <c r="B14" s="42" t="inlineStr">
        <is>
          <t>Menu bar</t>
        </is>
      </c>
      <c r="C14" s="43" t="inlineStr">
        <is>
          <t>Widget customization</t>
        </is>
      </c>
      <c r="D14" s="43" t="inlineStr">
        <is>
          <t>Normal/edit, show/hide, reset, no widgets, drag, resize</t>
        </is>
      </c>
      <c r="E14" s="43" t="inlineStr">
        <is>
          <t>Functional preference panel inside popover</t>
        </is>
      </c>
      <c r="F14" s="43" t="inlineStr">
        <is>
          <t>Source only</t>
        </is>
      </c>
      <c r="G14" s="43" t="inlineStr">
        <is>
          <t>Clear edit mode, larger targets, lift, insertion marker, stable reflow</t>
        </is>
      </c>
      <c r="H14" s="43" t="inlineStr">
        <is>
          <t>MetricWidgets.swift:18-250</t>
        </is>
      </c>
      <c r="I14" s="44" t="inlineStr">
        <is>
          <t>Drag across rows and while scrolling</t>
        </is>
      </c>
      <c r="J14" s="41" t="inlineStr">
        <is>
          <t>Not Reviewed</t>
        </is>
      </c>
      <c r="K14" s="41" t="inlineStr"/>
    </row>
    <row r="15" ht="54" customHeight="1">
      <c r="A15" s="37" t="inlineStr">
        <is>
          <t>SUR-09</t>
        </is>
      </c>
      <c r="B15" s="37" t="inlineStr">
        <is>
          <t>Menu bar</t>
        </is>
      </c>
      <c r="C15" s="38" t="inlineStr">
        <is>
          <t>Metric widgets</t>
        </is>
      </c>
      <c r="D15" s="38" t="inlineStr">
        <is>
          <t>Six metrics, small/large, battery unavailable, collecting history</t>
        </is>
      </c>
      <c r="E15" s="38" t="inlineStr">
        <is>
          <t>Coherent but structurally repetitive compact tiles</t>
        </is>
      </c>
      <c r="F15" s="38" t="inlineStr">
        <is>
          <t>Source only</t>
        </is>
      </c>
      <c r="G15" s="38" t="inlineStr">
        <is>
          <t>Quiet per-metric personality and incoming-data reveal</t>
        </is>
      </c>
      <c r="H15" s="38" t="inlineStr">
        <is>
          <t>WidgetLayout.swift:3-190; MetricWidgets.swift:257-471</t>
        </is>
      </c>
      <c r="I15" s="44" t="inlineStr">
        <is>
          <t>Every metric in both sizes</t>
        </is>
      </c>
      <c r="J15" s="41" t="inlineStr">
        <is>
          <t>Not Reviewed</t>
        </is>
      </c>
      <c r="K15" s="41" t="inlineStr"/>
    </row>
    <row r="16" ht="54" customHeight="1">
      <c r="A16" s="42" t="inlineStr">
        <is>
          <t>SUR-10</t>
        </is>
      </c>
      <c r="B16" s="42" t="inlineStr">
        <is>
          <t>Menu bar</t>
        </is>
      </c>
      <c r="C16" s="43" t="inlineStr">
        <is>
          <t>Network widget</t>
        </is>
      </c>
      <c r="D16" s="43" t="inlineStr">
        <is>
          <t>Wi-Fi, Ethernet, offline, SSID permission, speed idle/down/up/done/failed</t>
        </is>
      </c>
      <c r="E16" s="43" t="inlineStr">
        <is>
          <t>Information-rich but crowded</t>
        </is>
      </c>
      <c r="F16" s="43" t="inlineStr">
        <is>
          <t>Source only</t>
        </is>
      </c>
      <c r="G16" s="43" t="inlineStr">
        <is>
          <t>Stable test progression and elegant permission/offline state</t>
        </is>
      </c>
      <c r="H16" s="43" t="inlineStr">
        <is>
          <t>MetricWidgets.swift:473-624; NetworkInfo.swift:19-68</t>
        </is>
      </c>
      <c r="I16" s="44" t="inlineStr">
        <is>
          <t>All connection and speed states</t>
        </is>
      </c>
      <c r="J16" s="41" t="inlineStr">
        <is>
          <t>Not Reviewed</t>
        </is>
      </c>
      <c r="K16" s="41" t="inlineStr"/>
    </row>
    <row r="17" ht="54" customHeight="1">
      <c r="A17" s="37" t="inlineStr">
        <is>
          <t>SUR-11</t>
        </is>
      </c>
      <c r="B17" s="37" t="inlineStr">
        <is>
          <t>Menu bar</t>
        </is>
      </c>
      <c r="C17" s="38" t="inlineStr">
        <is>
          <t>Keep Awake widget</t>
        </is>
      </c>
      <c r="D17" s="38" t="inlineStr">
        <is>
          <t>Idle, timed/indefinite active, paused, expiry, error, Idle Activity branches</t>
        </is>
      </c>
      <c r="E17" s="38" t="inlineStr">
        <is>
          <t>Most distinctive surface: eye, halo, active wash</t>
        </is>
      </c>
      <c r="F17" s="38" t="inlineStr">
        <is>
          <t>Source plus full-page state</t>
        </is>
      </c>
      <c r="G17" s="38" t="inlineStr">
        <is>
          <t>Spatial state morph and coherent eye identity</t>
        </is>
      </c>
      <c r="H17" s="38" t="inlineStr">
        <is>
          <t>KeepAwakeWidget.swift:8-507; KeepAwake.swift:157-208</t>
        </is>
      </c>
      <c r="I17" s="44" t="inlineStr">
        <is>
          <t>Pause, near-expiry, error, permission failure</t>
        </is>
      </c>
      <c r="J17" s="41" t="inlineStr">
        <is>
          <t>Not Reviewed</t>
        </is>
      </c>
      <c r="K17" s="41" t="inlineStr"/>
    </row>
    <row r="18" ht="54" customHeight="1">
      <c r="A18" s="42" t="inlineStr">
        <is>
          <t>SUR-12</t>
        </is>
      </c>
      <c r="B18" s="42" t="inlineStr">
        <is>
          <t>Menu bar</t>
        </is>
      </c>
      <c r="C18" s="43" t="inlineStr">
        <is>
          <t>Calendar widget</t>
        </is>
      </c>
      <c r="D18" s="43" t="inlineStr">
        <is>
          <t>Calendar shown/hidden, month, Today, week numbers, clocks, time travel</t>
        </is>
      </c>
      <c r="E18" s="43" t="inlineStr">
        <is>
          <t>Thoughtfully custom compact calendar</t>
        </is>
      </c>
      <c r="F18" s="43" t="inlineStr">
        <is>
          <t>Source only</t>
        </is>
      </c>
      <c r="G18" s="43" t="inlineStr">
        <is>
          <t>Directional months and contextual day/night changes</t>
        </is>
      </c>
      <c r="H18" s="43" t="inlineStr">
        <is>
          <t>CalendarPopover.swift:14-334</t>
        </is>
      </c>
      <c r="I18" s="44" t="inlineStr">
        <is>
          <t>Boundaries, localization, many clocks</t>
        </is>
      </c>
      <c r="J18" s="41" t="inlineStr">
        <is>
          <t>Not Reviewed</t>
        </is>
      </c>
      <c r="K18" s="41" t="inlineStr"/>
    </row>
    <row r="19" ht="54" customHeight="1">
      <c r="A19" s="37" t="inlineStr">
        <is>
          <t>SUR-13</t>
        </is>
      </c>
      <c r="B19" s="37" t="inlineStr">
        <is>
          <t>Menu bar</t>
        </is>
      </c>
      <c r="C19" s="38" t="inlineStr">
        <is>
          <t>Connected Devices</t>
        </is>
      </c>
      <c r="D19" s="38" t="inlineStr">
        <is>
          <t>Scanning, empty, collapsed/expanded, battery warning, eject error</t>
        </is>
      </c>
      <c r="E19" s="38" t="inlineStr">
        <is>
          <t>Utilitarian card and rows</t>
        </is>
      </c>
      <c r="F19" s="38" t="inlineStr">
        <is>
          <t>Source only</t>
        </is>
      </c>
      <c r="G19" s="38" t="inlineStr">
        <is>
          <t>Device identity and arrival/eject feedback</t>
        </is>
      </c>
      <c r="H19" s="38" t="inlineStr">
        <is>
          <t>NetworkPanel.swift:7-95</t>
        </is>
      </c>
      <c r="I19" s="44" t="inlineStr">
        <is>
          <t>Bluetooth, disks, many devices, eject failure</t>
        </is>
      </c>
      <c r="J19" s="41" t="inlineStr">
        <is>
          <t>Not Reviewed</t>
        </is>
      </c>
      <c r="K19" s="41" t="inlineStr"/>
    </row>
    <row r="20" ht="54" customHeight="1">
      <c r="A20" s="42" t="inlineStr">
        <is>
          <t>SUR-14</t>
        </is>
      </c>
      <c r="B20" s="42" t="inlineStr">
        <is>
          <t>Overview</t>
        </is>
      </c>
      <c r="C20" s="43" t="inlineStr">
        <is>
          <t>Dashboard</t>
        </is>
      </c>
      <c r="D20" s="43" t="inlineStr">
        <is>
          <t>Greeting, permission banner, desktop/battery, live vitals, network, actions</t>
        </is>
      </c>
      <c r="E20" s="43" t="inlineStr">
        <is>
          <t>Pleasant conventional card dashboard</t>
        </is>
      </c>
      <c r="F20" s="43" t="inlineStr">
        <is>
          <t>Upper and lower content captured</t>
        </is>
      </c>
      <c r="G20" s="43" t="inlineStr">
        <is>
          <t>Mac-health hero and clearer action hierarchy</t>
        </is>
      </c>
      <c r="H20" s="43" t="inlineStr">
        <is>
          <t>DashboardView.swift:20-153</t>
        </is>
      </c>
      <c r="I20" s="44" t="inlineStr">
        <is>
          <t>Battery hardware and permission banner</t>
        </is>
      </c>
      <c r="J20" s="41" t="inlineStr">
        <is>
          <t>Not Reviewed</t>
        </is>
      </c>
      <c r="K20" s="41" t="inlineStr"/>
    </row>
    <row r="21" ht="54" customHeight="1">
      <c r="A21" s="37" t="inlineStr">
        <is>
          <t>SUR-15</t>
        </is>
      </c>
      <c r="B21" s="37" t="inlineStr">
        <is>
          <t>Overview</t>
        </is>
      </c>
      <c r="C21" s="38" t="inlineStr">
        <is>
          <t>Smart Care</t>
        </is>
      </c>
      <c r="D21" s="38" t="inlineStr">
        <is>
          <t>Scanning, score, findings, severity, confidence, queued actions</t>
        </is>
      </c>
      <c r="E21" s="38" t="inlineStr">
        <is>
          <t>Strong score ring; findings become card stack</t>
        </is>
      </c>
      <c r="F21" s="38" t="inlineStr">
        <is>
          <t>Scanning and result captured</t>
        </is>
      </c>
      <c r="G21" s="38" t="inlineStr">
        <is>
          <t>Spinner-to-score morph and bounded reveal</t>
        </is>
      </c>
      <c r="H21" s="38" t="inlineStr">
        <is>
          <t>SmartCareView.swift:222-439</t>
        </is>
      </c>
      <c r="I21" s="44" t="inlineStr">
        <is>
          <t>Healthy/warn/bad mixes and queue changes</t>
        </is>
      </c>
      <c r="J21" s="41" t="inlineStr">
        <is>
          <t>Not Reviewed</t>
        </is>
      </c>
      <c r="K21" s="41" t="inlineStr"/>
    </row>
    <row r="22" ht="54" customHeight="1">
      <c r="A22" s="42" t="inlineStr">
        <is>
          <t>SUR-16</t>
        </is>
      </c>
      <c r="B22" s="42" t="inlineStr">
        <is>
          <t>Overview</t>
        </is>
      </c>
      <c r="C22" s="43" t="inlineStr">
        <is>
          <t>Activity</t>
        </is>
      </c>
      <c r="D22" s="43" t="inlineStr">
        <is>
          <t>CPU/memory charts, temperature available/N/A, sensors, process sort</t>
        </is>
      </c>
      <c r="E22" s="43" t="inlineStr">
        <is>
          <t>Dense competent monitor</t>
        </is>
      </c>
      <c r="F22" s="43" t="inlineStr">
        <is>
          <t>Upper and lower content captured</t>
        </is>
      </c>
      <c r="G22" s="43" t="inlineStr">
        <is>
          <t>Chart language, stable process updates, clear sort</t>
        </is>
      </c>
      <c r="H22" s="43" t="inlineStr">
        <is>
          <t>ActivityView.swift:33-205</t>
        </is>
      </c>
      <c r="I22" s="44" t="inlineStr">
        <is>
          <t>Temperature unavailable and sensor expansion</t>
        </is>
      </c>
      <c r="J22" s="41" t="inlineStr">
        <is>
          <t>Not Reviewed</t>
        </is>
      </c>
      <c r="K22" s="41" t="inlineStr"/>
    </row>
    <row r="23" ht="54" customHeight="1">
      <c r="A23" s="37" t="inlineStr">
        <is>
          <t>SUR-17</t>
        </is>
      </c>
      <c r="B23" s="37" t="inlineStr">
        <is>
          <t>Overview</t>
        </is>
      </c>
      <c r="C23" s="38" t="inlineStr">
        <is>
          <t>Storage</t>
        </is>
      </c>
      <c r="D23" s="38" t="inlineStr">
        <is>
          <t>Measuring, refresh, results, derived badges, error, routes</t>
        </is>
      </c>
      <c r="E23" s="38" t="inlineStr">
        <is>
          <t>Strong donut concept with sparse long-loading screen</t>
        </is>
      </c>
      <c r="F23" s="38" t="inlineStr">
        <is>
          <t>Measuring captured</t>
        </is>
      </c>
      <c r="G23" s="38" t="inlineStr">
        <is>
          <t>Truthful progress and spinner-to-donut continuity</t>
        </is>
      </c>
      <c r="H23" s="38" t="inlineStr">
        <is>
          <t>StorageView.swift:202-407</t>
        </is>
      </c>
      <c r="I23" s="44" t="inlineStr">
        <is>
          <t>Completed result and error</t>
        </is>
      </c>
      <c r="J23" s="41" t="inlineStr">
        <is>
          <t>Not Reviewed</t>
        </is>
      </c>
      <c r="K23" s="41" t="inlineStr"/>
    </row>
    <row r="24" ht="54" customHeight="1">
      <c r="A24" s="42" t="inlineStr">
        <is>
          <t>SUR-18</t>
        </is>
      </c>
      <c r="B24" s="42" t="inlineStr">
        <is>
          <t>Overview</t>
        </is>
      </c>
      <c r="C24" s="43" t="inlineStr">
        <is>
          <t>Battery or Power</t>
        </is>
      </c>
      <c r="D24" s="43" t="inlineStr">
        <is>
          <t>Battery hero or desktop AC, history, consumers, health</t>
        </is>
      </c>
      <c r="E24" s="43" t="inlineStr">
        <is>
          <t>Hardware-specific split; desktop is simpler</t>
        </is>
      </c>
      <c r="F24" s="43" t="inlineStr">
        <is>
          <t>Desktop Power captured</t>
        </is>
      </c>
      <c r="G24" s="43" t="inlineStr">
        <is>
          <t>Shared energy hero and state flourish</t>
        </is>
      </c>
      <c r="H24" s="43" t="inlineStr">
        <is>
          <t>BatteryView.swift:14-433</t>
        </is>
      </c>
      <c r="I24" s="44" t="inlineStr">
        <is>
          <t>Battery Mac and charging changes</t>
        </is>
      </c>
      <c r="J24" s="41" t="inlineStr">
        <is>
          <t>Not Reviewed</t>
        </is>
      </c>
      <c r="K24" s="41" t="inlineStr"/>
    </row>
    <row r="25" ht="54" customHeight="1">
      <c r="A25" s="37" t="inlineStr">
        <is>
          <t>SUR-19</t>
        </is>
      </c>
      <c r="B25" s="37" t="inlineStr">
        <is>
          <t>Overview</t>
        </is>
      </c>
      <c r="C25" s="38" t="inlineStr">
        <is>
          <t>Keep Awake page</t>
        </is>
      </c>
      <c r="D25" s="38" t="inlineStr">
        <is>
          <t>Inactive, timed/indefinite active, paused/error, policies, Idle Activity</t>
        </is>
      </c>
      <c r="E25" s="38" t="inlineStr">
        <is>
          <t>Signature eye with generic supporting settings</t>
        </is>
      </c>
      <c r="F25" s="38" t="inlineStr">
        <is>
          <t>Active state captured</t>
        </is>
      </c>
      <c r="G25" s="38" t="inlineStr">
        <is>
          <t>Whole-page state morph and tactile duration</t>
        </is>
      </c>
      <c r="H25" s="38" t="inlineStr">
        <is>
          <t>KeepAwakeView.swift:10-240</t>
        </is>
      </c>
      <c r="I25" s="44" t="inlineStr">
        <is>
          <t>Inactive, paused, errors, Idle Activity branches</t>
        </is>
      </c>
      <c r="J25" s="41" t="inlineStr">
        <is>
          <t>Not Reviewed</t>
        </is>
      </c>
      <c r="K25" s="41" t="inlineStr"/>
    </row>
    <row r="26" ht="54" customHeight="1">
      <c r="A26" s="42" t="inlineStr">
        <is>
          <t>SUR-20</t>
        </is>
      </c>
      <c r="B26" s="42" t="inlineStr">
        <is>
          <t>Overview</t>
        </is>
      </c>
      <c r="C26" s="43" t="inlineStr">
        <is>
          <t>Calendar and Clocks settings</t>
        </is>
      </c>
      <c r="D26" s="43" t="inlineStr">
        <is>
          <t>Preview, disabled controls, custom format, clocks empty/list</t>
        </is>
      </c>
      <c r="E26" s="43" t="inlineStr">
        <is>
          <t>Useful preview plus generic settings form</t>
        </is>
      </c>
      <c r="F26" s="43" t="inlineStr">
        <is>
          <t>Captured installed app</t>
        </is>
      </c>
      <c r="G26" s="43" t="inlineStr">
        <is>
          <t>Preview-centered configuration</t>
        </is>
      </c>
      <c r="H26" s="43" t="inlineStr">
        <is>
          <t>CalendarSettingsView.swift:6-188</t>
        </is>
      </c>
      <c r="I26" s="44" t="inlineStr">
        <is>
          <t>Invalid custom format and clocks list</t>
        </is>
      </c>
      <c r="J26" s="41" t="inlineStr">
        <is>
          <t>Not Reviewed</t>
        </is>
      </c>
      <c r="K26" s="41" t="inlineStr"/>
    </row>
    <row r="27" ht="54" customHeight="1">
      <c r="A27" s="37" t="inlineStr">
        <is>
          <t>SUR-21</t>
        </is>
      </c>
      <c r="B27" s="37" t="inlineStr">
        <is>
          <t>Optimize</t>
        </is>
      </c>
      <c r="C27" s="38" t="inlineStr">
        <is>
          <t>Power Tools</t>
        </is>
      </c>
      <c r="D27" s="38" t="inlineStr">
        <is>
          <t>Access ready/missing, six sections, toggles, actions, result statuses</t>
        </is>
      </c>
      <c r="E27" s="38" t="inlineStr">
        <is>
          <t>Dense wall of utility cards</t>
        </is>
      </c>
      <c r="F27" s="38" t="inlineStr">
        <is>
          <t>Upper content captured</t>
        </is>
      </c>
      <c r="G27" s="38" t="inlineStr">
        <is>
          <t>Enabled hierarchy and local feedback</t>
        </is>
      </c>
      <c r="H27" s="38" t="inlineStr">
        <is>
          <t>PowerToolsView.swift:3-280</t>
        </is>
      </c>
      <c r="I27" s="44" t="inlineStr">
        <is>
          <t>Accessibility off and every result status</t>
        </is>
      </c>
      <c r="J27" s="41" t="inlineStr">
        <is>
          <t>Not Reviewed</t>
        </is>
      </c>
      <c r="K27" s="41" t="inlineStr"/>
    </row>
    <row r="28" ht="54" customHeight="1">
      <c r="A28" s="42" t="inlineStr">
        <is>
          <t>SUR-22</t>
        </is>
      </c>
      <c r="B28" s="42" t="inlineStr">
        <is>
          <t>Clean</t>
        </is>
      </c>
      <c r="C28" s="43" t="inlineStr">
        <is>
          <t>Cleanup</t>
        </is>
      </c>
      <c r="D28" s="43" t="inlineStr">
        <is>
          <t>Idle, scanning, empty, results, cleaning, confirmation, done/failure</t>
        </is>
      </c>
      <c r="E28" s="43" t="inlineStr">
        <is>
          <t>Polished but familiar shared scan flow</t>
        </is>
      </c>
      <c r="F28" s="43" t="inlineStr">
        <is>
          <t>Idle captured</t>
        </is>
      </c>
      <c r="G28" s="43" t="inlineStr">
        <is>
          <t>Authored scan and completion choreography</t>
        </is>
      </c>
      <c r="H28" s="43" t="inlineStr">
        <is>
          <t>CleanupView.swift:3-202; ScanResultsView.swift:5-164</t>
        </is>
      </c>
      <c r="I28" s="44" t="inlineStr">
        <is>
          <t>Cancel, results, partial clean</t>
        </is>
      </c>
      <c r="J28" s="41" t="inlineStr">
        <is>
          <t>Not Reviewed</t>
        </is>
      </c>
      <c r="K28" s="41" t="inlineStr"/>
    </row>
    <row r="29" ht="54" customHeight="1">
      <c r="A29" s="37" t="inlineStr">
        <is>
          <t>SUR-23</t>
        </is>
      </c>
      <c r="B29" s="37" t="inlineStr">
        <is>
          <t>Clean</t>
        </is>
      </c>
      <c r="C29" s="38" t="inlineStr">
        <is>
          <t>Large and Old Files</t>
        </is>
      </c>
      <c r="D29" s="38" t="inlineStr">
        <is>
          <t>Setup, picker, size, scanning, empty, results, cleaning, done</t>
        </is>
      </c>
      <c r="E29" s="38" t="inlineStr">
        <is>
          <t>Clear setup, less authored than strongest surfaces</t>
        </is>
      </c>
      <c r="F29" s="38" t="inlineStr">
        <is>
          <t>Setup captured</t>
        </is>
      </c>
      <c r="G29" s="38" t="inlineStr">
        <is>
          <t>Scope visualization and consistent scan identity</t>
        </is>
      </c>
      <c r="H29" s="38" t="inlineStr">
        <is>
          <t>LargeFilesView.swift:3-85</t>
        </is>
      </c>
      <c r="I29" s="44" t="inlineStr">
        <is>
          <t>Long path and large scan</t>
        </is>
      </c>
      <c r="J29" s="41" t="inlineStr">
        <is>
          <t>Not Reviewed</t>
        </is>
      </c>
      <c r="K29" s="41" t="inlineStr"/>
    </row>
    <row r="30" ht="54" customHeight="1">
      <c r="A30" s="42" t="inlineStr">
        <is>
          <t>SUR-24</t>
        </is>
      </c>
      <c r="B30" s="42" t="inlineStr">
        <is>
          <t>Clean</t>
        </is>
      </c>
      <c r="C30" s="43" t="inlineStr">
        <is>
          <t>Space Lens</t>
        </is>
      </c>
      <c r="D30" s="43" t="inlineStr">
        <is>
          <t>Breadcrumb, scope, treemap, hover/context, scan, empty/errors/cancel</t>
        </is>
      </c>
      <c r="E30" s="43" t="inlineStr">
        <is>
          <t>Most visually unique main-window module</t>
        </is>
      </c>
      <c r="F30" s="43" t="inlineStr">
        <is>
          <t>Scanning and result captured</t>
        </is>
      </c>
      <c r="G30" s="43" t="inlineStr">
        <is>
          <t>Spatial zoom, hover, keyboard, progressive reveal</t>
        </is>
      </c>
      <c r="H30" s="43" t="inlineStr">
        <is>
          <t>SpaceLensView.swift:3-237</t>
        </is>
      </c>
      <c r="I30" s="44" t="inlineStr">
        <is>
          <t>Tiny cells, deep folders, permission issues</t>
        </is>
      </c>
      <c r="J30" s="41" t="inlineStr">
        <is>
          <t>Not Reviewed</t>
        </is>
      </c>
      <c r="K30" s="41" t="inlineStr"/>
    </row>
    <row r="31" ht="54" customHeight="1">
      <c r="A31" s="37" t="inlineStr">
        <is>
          <t>SUR-25</t>
        </is>
      </c>
      <c r="B31" s="37" t="inlineStr">
        <is>
          <t>Clean</t>
        </is>
      </c>
      <c r="C31" s="38" t="inlineStr">
        <is>
          <t>Uninstaller</t>
        </is>
      </c>
      <c r="D31" s="38" t="inlineStr">
        <is>
          <t>Loading, empty, search, app grid, protected, selected, leftovers sheet</t>
        </is>
      </c>
      <c r="E31" s="38" t="inlineStr">
        <is>
          <t>Real icons help; conventional browser and sheet flow</t>
        </is>
      </c>
      <c r="F31" s="38" t="inlineStr">
        <is>
          <t>Loading captured</t>
        </is>
      </c>
      <c r="G31" s="38" t="inlineStr">
        <is>
          <t>Icon treatment and persistent step identity</t>
        </is>
      </c>
      <c r="H31" s="38" t="inlineStr">
        <is>
          <t>UninstallerView.swift:3-173</t>
        </is>
      </c>
      <c r="I31" s="44" t="inlineStr">
        <is>
          <t>Populated grid, protected apps, leftovers</t>
        </is>
      </c>
      <c r="J31" s="41" t="inlineStr">
        <is>
          <t>Not Reviewed</t>
        </is>
      </c>
      <c r="K31" s="41" t="inlineStr"/>
    </row>
    <row r="32" ht="54" customHeight="1">
      <c r="A32" s="42" t="inlineStr">
        <is>
          <t>SUR-26</t>
        </is>
      </c>
      <c r="B32" s="42" t="inlineStr">
        <is>
          <t>Optimize</t>
        </is>
      </c>
      <c r="C32" s="43" t="inlineStr">
        <is>
          <t>Privacy</t>
        </is>
      </c>
      <c r="D32" s="43" t="inlineStr">
        <is>
          <t>Idle, scan, empty, results, sensitive warning, clean, done</t>
        </is>
      </c>
      <c r="E32" s="43" t="inlineStr">
        <is>
          <t>Cleanup clone with limited browser identity</t>
        </is>
      </c>
      <c r="F32" s="43" t="inlineStr">
        <is>
          <t>Idle captured</t>
        </is>
      </c>
      <c r="G32" s="43" t="inlineStr">
        <is>
          <t>Browser-led distinction between cache and sensitive data</t>
        </is>
      </c>
      <c r="H32" s="43" t="inlineStr">
        <is>
          <t>PrivacyView.swift:3-69</t>
        </is>
      </c>
      <c r="I32" s="44" t="inlineStr">
        <is>
          <t>Multiple browsers and sensitive selection</t>
        </is>
      </c>
      <c r="J32" s="41" t="inlineStr">
        <is>
          <t>Not Reviewed</t>
        </is>
      </c>
      <c r="K32" s="41" t="inlineStr"/>
    </row>
    <row r="33" ht="54" customHeight="1">
      <c r="A33" s="37" t="inlineStr">
        <is>
          <t>SUR-27</t>
        </is>
      </c>
      <c r="B33" s="37" t="inlineStr">
        <is>
          <t>Optimize</t>
        </is>
      </c>
      <c r="C33" s="38" t="inlineStr">
        <is>
          <t>Login Items</t>
        </is>
      </c>
      <c r="D33" s="38" t="inlineStr">
        <is>
          <t>Loading, empty, diagnostics, editable/locked rows, removal</t>
        </is>
      </c>
      <c r="E33" s="38" t="inlineStr">
        <is>
          <t>Dense stock inset list</t>
        </is>
      </c>
      <c r="F33" s="38" t="inlineStr">
        <is>
          <t>Populated list captured</t>
        </is>
      </c>
      <c r="G33" s="38" t="inlineStr">
        <is>
          <t>Care ledger, identity, hover, locked explanation</t>
        </is>
      </c>
      <c r="H33" s="38" t="inlineStr">
        <is>
          <t>LoginItemsView.swift:3-108</t>
        </is>
      </c>
      <c r="I33" s="44" t="inlineStr">
        <is>
          <t>Errors, toggle result, removal confirmation</t>
        </is>
      </c>
      <c r="J33" s="41" t="inlineStr">
        <is>
          <t>Not Reviewed</t>
        </is>
      </c>
      <c r="K33" s="41" t="inlineStr"/>
    </row>
    <row r="34" ht="54" customHeight="1">
      <c r="A34" s="42" t="inlineStr">
        <is>
          <t>SUR-28</t>
        </is>
      </c>
      <c r="B34" s="42" t="inlineStr">
        <is>
          <t>Optimize</t>
        </is>
      </c>
      <c r="C34" s="43" t="inlineStr">
        <is>
          <t>Maintenance</t>
        </is>
      </c>
      <c r="D34" s="43" t="inlineStr">
        <is>
          <t>Idle/running/done/failed, password, output, confirmation</t>
        </is>
      </c>
      <c r="E34" s="43" t="inlineStr">
        <is>
          <t>Clear cards with abrupt state changes</t>
        </is>
      </c>
      <c r="F34" s="43" t="inlineStr">
        <is>
          <t>Idle task list captured</t>
        </is>
      </c>
      <c r="G34" s="43" t="inlineStr">
        <is>
          <t>Fixed stateful actions and local result transformation</t>
        </is>
      </c>
      <c r="H34" s="43" t="inlineStr">
        <is>
          <t>MaintenanceView.swift:3-107</t>
        </is>
      </c>
      <c r="I34" s="44" t="inlineStr">
        <is>
          <t>Admin cancel, long output, errors</t>
        </is>
      </c>
      <c r="J34" s="41" t="inlineStr">
        <is>
          <t>Not Reviewed</t>
        </is>
      </c>
      <c r="K34" s="41" t="inlineStr"/>
    </row>
    <row r="35" ht="54" customHeight="1">
      <c r="A35" s="37" t="inlineStr">
        <is>
          <t>SUR-29</t>
        </is>
      </c>
      <c r="B35" s="37" t="inlineStr">
        <is>
          <t>Optimize</t>
        </is>
      </c>
      <c r="C35" s="38" t="inlineStr">
        <is>
          <t>Updater</t>
        </is>
      </c>
      <c r="D35" s="38" t="inlineStr">
        <is>
          <t>Checking, unavailable, failure, empty, update list, busy/failure/applied</t>
        </is>
      </c>
      <c r="E35" s="38" t="inlineStr">
        <is>
          <t>Comprehensive states with sparse identity</t>
        </is>
      </c>
      <c r="F35" s="38" t="inlineStr">
        <is>
          <t>Checking captured</t>
        </is>
      </c>
      <c r="G35" s="38" t="inlineStr">
        <is>
          <t>App identity and phase continuity</t>
        </is>
      </c>
      <c r="H35" s="38" t="inlineStr">
        <is>
          <t>UpdaterView.swift:3-198</t>
        </is>
      </c>
      <c r="I35" s="44" t="inlineStr">
        <is>
          <t>All Homebrew and update states</t>
        </is>
      </c>
      <c r="J35" s="41" t="inlineStr">
        <is>
          <t>Not Reviewed</t>
        </is>
      </c>
      <c r="K35" s="41" t="inlineStr"/>
    </row>
    <row r="36" ht="54" customHeight="1">
      <c r="A36" s="42" t="inlineStr">
        <is>
          <t>SUR-30</t>
        </is>
      </c>
      <c r="B36" s="42" t="inlineStr">
        <is>
          <t>Optimize</t>
        </is>
      </c>
      <c r="C36" s="43" t="inlineStr">
        <is>
          <t>Permissions</t>
        </is>
      </c>
      <c r="D36" s="43" t="inlineStr">
        <is>
          <t>Ready/missing summary, Full Disk, Accessibility, Location, on-demand access</t>
        </is>
      </c>
      <c r="E36" s="43" t="inlineStr">
        <is>
          <t>Trustworthy but text-heavy</t>
        </is>
      </c>
      <c r="F36" s="43" t="inlineStr">
        <is>
          <t>All-ready captured</t>
        </is>
      </c>
      <c r="G36" s="43" t="inlineStr">
        <is>
          <t>Readiness overview and progressive detail</t>
        </is>
      </c>
      <c r="H36" s="43" t="inlineStr">
        <is>
          <t>PermissionsView.swift:59-299</t>
        </is>
      </c>
      <c r="I36" s="44" t="inlineStr">
        <is>
          <t>Denied and changed-without-relaunch states</t>
        </is>
      </c>
      <c r="J36" s="41" t="inlineStr">
        <is>
          <t>Not Reviewed</t>
        </is>
      </c>
      <c r="K36" s="41" t="inlineStr"/>
    </row>
    <row r="37" ht="54" customHeight="1">
      <c r="A37" s="37" t="inlineStr">
        <is>
          <t>SUR-31</t>
        </is>
      </c>
      <c r="B37" s="37" t="inlineStr">
        <is>
          <t>Sheet</t>
        </is>
      </c>
      <c r="C37" s="38" t="inlineStr">
        <is>
          <t>Free Up RAM</t>
        </is>
      </c>
      <c r="D37" s="38" t="inlineStr">
        <is>
          <t>Ready, working, done, failed</t>
        </is>
      </c>
      <c r="E37" s="38" t="inlineStr">
        <is>
          <t>Branded icon/spinner on plain sheet</t>
        </is>
      </c>
      <c r="F37" s="38" t="inlineStr">
        <is>
          <t>Source only</t>
        </is>
      </c>
      <c r="G37" s="38" t="inlineStr">
        <is>
          <t>One continuous morphing composition</t>
        </is>
      </c>
      <c r="H37" s="38" t="inlineStr">
        <is>
          <t>FreeRAMView.swift:12-60</t>
        </is>
      </c>
      <c r="I37" s="44" t="inlineStr">
        <is>
          <t>All phases live</t>
        </is>
      </c>
      <c r="J37" s="41" t="inlineStr">
        <is>
          <t>Not Reviewed</t>
        </is>
      </c>
      <c r="K37" s="41" t="inlineStr"/>
    </row>
    <row r="38" ht="54" customHeight="1">
      <c r="A38" s="42" t="inlineStr">
        <is>
          <t>SUR-32</t>
        </is>
      </c>
      <c r="B38" s="42" t="inlineStr">
        <is>
          <t>Sheet</t>
        </is>
      </c>
      <c r="C38" s="43" t="inlineStr">
        <is>
          <t>Time-zone picker</t>
        </is>
      </c>
      <c r="D38" s="43" t="inlineStr">
        <is>
          <t>Search, existing disabled, add, no results</t>
        </is>
      </c>
      <c r="E38" s="43" t="inlineStr">
        <is>
          <t>Clear native list</t>
        </is>
      </c>
      <c r="F38" s="43" t="inlineStr">
        <is>
          <t>Source only</t>
        </is>
      </c>
      <c r="G38" s="43" t="inlineStr">
        <is>
          <t>Authored no-results and local-time preview</t>
        </is>
      </c>
      <c r="H38" s="43" t="inlineStr">
        <is>
          <t>CalendarSettingsView.swift:192-275</t>
        </is>
      </c>
      <c r="I38" s="44" t="inlineStr">
        <is>
          <t>Long searches and localization</t>
        </is>
      </c>
      <c r="J38" s="41" t="inlineStr">
        <is>
          <t>Not Reviewed</t>
        </is>
      </c>
      <c r="K38" s="41" t="inlineStr"/>
    </row>
    <row r="39" ht="54" customHeight="1">
      <c r="A39" s="37" t="inlineStr">
        <is>
          <t>SUR-33</t>
        </is>
      </c>
      <c r="B39" s="37" t="inlineStr">
        <is>
          <t>Sheet</t>
        </is>
      </c>
      <c r="C39" s="38" t="inlineStr">
        <is>
          <t>Uninstaller leftovers</t>
        </is>
      </c>
      <c r="D39" s="38" t="inlineStr">
        <is>
          <t>Scanning, protected/empty, selectable results, uninstalling, confirmation, done</t>
        </is>
      </c>
      <c r="E39" s="38" t="inlineStr">
        <is>
          <t>Functional steps with app identity</t>
        </is>
      </c>
      <c r="F39" s="38" t="inlineStr">
        <is>
          <t>Source only</t>
        </is>
      </c>
      <c r="G39" s="38" t="inlineStr">
        <is>
          <t>Persistent step indicator and phase continuity</t>
        </is>
      </c>
      <c r="H39" s="38" t="inlineStr">
        <is>
          <t>UninstallerView.swift:106-173</t>
        </is>
      </c>
      <c r="I39" s="44" t="inlineStr">
        <is>
          <t>All phases live</t>
        </is>
      </c>
      <c r="J39" s="41" t="inlineStr">
        <is>
          <t>Not Reviewed</t>
        </is>
      </c>
      <c r="K39" s="41" t="inlineStr"/>
    </row>
    <row r="40" ht="54" customHeight="1">
      <c r="A40" s="42" t="inlineStr">
        <is>
          <t>SUR-34</t>
        </is>
      </c>
      <c r="B40" s="42" t="inlineStr">
        <is>
          <t>Dialog</t>
        </is>
      </c>
      <c r="C40" s="43" t="inlineStr">
        <is>
          <t>Destructive confirmations</t>
        </is>
      </c>
      <c r="D40" s="43" t="inlineStr">
        <is>
          <t>Cleanup, Privacy, Login Items, Maintenance, Uninstaller, Empty Trash</t>
        </is>
      </c>
      <c r="E40" s="43" t="inlineStr">
        <is>
          <t>Correct native macOS alerts</t>
        </is>
      </c>
      <c r="F40" s="43" t="inlineStr">
        <is>
          <t>Not triggered by read-only audit</t>
        </is>
      </c>
      <c r="G40" s="43" t="inlineStr">
        <is>
          <t>Branded lead-in and localized return feedback</t>
        </is>
      </c>
      <c r="H40" s="43" t="inlineStr">
        <is>
          <t>Feature alert call sites</t>
        </is>
      </c>
      <c r="I40" s="44" t="inlineStr">
        <is>
          <t>Keyboard, cancel, success, failure</t>
        </is>
      </c>
      <c r="J40" s="41" t="inlineStr">
        <is>
          <t>Not Reviewed</t>
        </is>
      </c>
      <c r="K40" s="41" t="inlineStr"/>
    </row>
    <row r="41" ht="54" customHeight="1">
      <c r="A41" s="37" t="inlineStr">
        <is>
          <t>SUR-35</t>
        </is>
      </c>
      <c r="B41" s="37" t="inlineStr">
        <is>
          <t>System</t>
        </is>
      </c>
      <c r="C41" s="38" t="inlineStr">
        <is>
          <t>External native handoffs</t>
        </is>
      </c>
      <c r="D41" s="38" t="inlineStr">
        <is>
          <t>Folder picker, password prompt, System Settings, Finder reveal</t>
        </is>
      </c>
      <c r="E41" s="38" t="inlineStr">
        <is>
          <t>Correctly system-owned</t>
        </is>
      </c>
      <c r="F41" s="38" t="inlineStr">
        <is>
          <t>Not triggered by read-only audit</t>
        </is>
      </c>
      <c r="G41" s="38" t="inlineStr">
        <is>
          <t>Improve transitions into and back from them only</t>
        </is>
      </c>
      <c r="H41" s="38" t="inlineStr">
        <is>
          <t>View-model and service handoff call sites</t>
        </is>
      </c>
      <c r="I41" s="44" t="inlineStr">
        <is>
          <t>Return-state behavior</t>
        </is>
      </c>
      <c r="J41" s="41" t="inlineStr">
        <is>
          <t>Not Reviewed</t>
        </is>
      </c>
      <c r="K41" s="41" t="inlineStr"/>
    </row>
  </sheetData>
  <mergeCells count="3">
    <mergeCell ref="A2:K2"/>
    <mergeCell ref="A1:K1"/>
    <mergeCell ref="A3:K3"/>
  </mergeCells>
  <conditionalFormatting sqref="F7:F41">
    <cfRule type="expression" priority="1" dxfId="3">
      <formula>ISNUMBER(SEARCH("captured",$F7))</formula>
    </cfRule>
    <cfRule type="expression" priority="2" dxfId="4">
      <formula>ISNUMBER(SEARCH("source only",$F7))</formula>
    </cfRule>
    <cfRule type="expression" priority="3" dxfId="0">
      <formula>ISNUMBER(SEARCH("blocked",$F7))</formula>
    </cfRule>
    <cfRule type="expression" priority="4" dxfId="2">
      <formula>ISNUMBER(SEARCH("not triggered",$F7))</formula>
    </cfRule>
  </conditionalFormatting>
  <conditionalFormatting sqref="J7:J41">
    <cfRule type="expression" priority="5" dxfId="1">
      <formula>$J7="Not Reviewed"</formula>
    </cfRule>
    <cfRule type="expression" priority="6" dxfId="3">
      <formula>$J7="Verified"</formula>
    </cfRule>
    <cfRule type="expression" priority="7" dxfId="4">
      <formula>$J7="Needs Capture"</formula>
    </cfRule>
    <cfRule type="expression" priority="8" dxfId="0">
      <formula>$J7="Blocked"</formula>
    </cfRule>
  </conditionalFormatting>
  <dataValidations count="1">
    <dataValidation sqref="J7:J41" showDropDown="0" showInputMessage="1" showErrorMessage="0" allowBlank="0" promptTitle="Verification status" prompt="Record the current evidence state for this surface." type="list">
      <formula1>"Not Reviewed,Verified,Needs Capture,Blocked"</formula1>
    </dataValidation>
  </dataValidations>
  <hyperlinks>
    <hyperlink xmlns:r="http://schemas.openxmlformats.org/officeDocument/2006/relationships" ref="A4" r:id="rId1"/>
    <hyperlink xmlns:r="http://schemas.openxmlformats.org/officeDocument/2006/relationships" ref="C4" r:id="rId2"/>
    <hyperlink xmlns:r="http://schemas.openxmlformats.org/officeDocument/2006/relationships" ref="E4" r:id="rId3"/>
    <hyperlink xmlns:r="http://schemas.openxmlformats.org/officeDocument/2006/relationships" ref="G4" r:id="rId4"/>
    <hyperlink xmlns:r="http://schemas.openxmlformats.org/officeDocument/2006/relationships" ref="I4" r:id="rId5"/>
  </hyperlinks>
  <pageMargins left="0.25" right="0.25" top="0.4" bottom="0.4" header="0.5" footer="0.5"/>
  <pageSetup fitToHeight="0" fitToWidth="1"/>
  <headerFooter>
    <oddHeader>&amp;C&amp;9 &amp;K667085Geraldine Visual Audit</oddHeader>
    <oddFooter>&amp;LRead-only audit · no app code changed&amp;RPage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6"/>
  </tableParts>
</worksheet>
</file>

<file path=xl/worksheets/sheet4.xml><?xml version="1.0" encoding="utf-8"?>
<worksheet xmlns="http://schemas.openxmlformats.org/spreadsheetml/2006/main">
  <sheetPr>
    <tabColor rgb="000F766E"/>
    <outlinePr summaryBelow="1" summaryRight="1"/>
    <pageSetUpPr fitToPage="1"/>
  </sheetPr>
  <dimension ref="A1:J31"/>
  <sheetViews>
    <sheetView showGridLines="0" zoomScale="82" workbookViewId="0">
      <pane xSplit="3" ySplit="6" topLeftCell="D7" activePane="bottomRight" state="frozen"/>
      <selection pane="topRight" activeCell="A1" sqref="A1"/>
      <selection pane="bottomLeft"/>
      <selection pane="bottomRight" activeCell="A1" sqref="A1"/>
    </sheetView>
  </sheetViews>
  <sheetFormatPr baseColWidth="8" defaultRowHeight="15"/>
  <cols>
    <col width="10" customWidth="1" min="1" max="1"/>
    <col width="9" customWidth="1" min="2" max="2"/>
    <col width="26" customWidth="1" min="3" max="3"/>
    <col width="42" customWidth="1" min="4" max="4"/>
    <col width="44" customWidth="1" min="5" max="5"/>
    <col width="9" customWidth="1" min="6" max="6"/>
    <col width="38" customWidth="1" min="7" max="7"/>
    <col width="36" customWidth="1" min="8" max="8"/>
    <col width="13" customWidth="1" min="9" max="9"/>
    <col width="38" customWidth="1" min="10" max="10"/>
  </cols>
  <sheetData>
    <row r="1" ht="6" customHeight="1">
      <c r="A1" s="1" t="n"/>
    </row>
    <row r="2" ht="34" customHeight="1">
      <c r="A2" s="2" t="inlineStr">
        <is>
          <t>Motion &amp; A11y</t>
        </is>
      </c>
    </row>
    <row r="3" ht="28" customHeight="1">
      <c r="A3" s="3" t="inlineStr">
        <is>
          <t>Interaction choreography, motion policy, Reduce Motion, keyboard, focus, hit-area, and performance proposals</t>
        </is>
      </c>
    </row>
    <row r="4" ht="22" customHeight="1">
      <c r="A4" s="4" t="inlineStr">
        <is>
          <t>Overview</t>
        </is>
      </c>
      <c r="B4" s="5" t="n"/>
      <c r="C4" s="4" t="inlineStr">
        <is>
          <t>Master Backlog</t>
        </is>
      </c>
      <c r="D4" s="5" t="n"/>
      <c r="E4" s="4" t="inlineStr">
        <is>
          <t>Surface Inventory</t>
        </is>
      </c>
      <c r="F4" s="5" t="n"/>
      <c r="G4" s="4" t="inlineStr">
        <is>
          <t>Motion &amp; A11y</t>
        </is>
      </c>
      <c r="H4" s="5" t="n"/>
      <c r="I4" s="4" t="inlineStr">
        <is>
          <t>Rollout Gates</t>
        </is>
      </c>
      <c r="J4" s="5" t="n"/>
    </row>
    <row r="5" ht="8" customHeight="1"/>
    <row r="6" ht="32" customHeight="1">
      <c r="A6" s="36" t="inlineStr">
        <is>
          <t>ID</t>
        </is>
      </c>
      <c r="B6" s="36" t="inlineStr">
        <is>
          <t>Priority</t>
        </is>
      </c>
      <c r="C6" s="36" t="inlineStr">
        <is>
          <t>Surface</t>
        </is>
      </c>
      <c r="D6" s="36" t="inlineStr">
        <is>
          <t>Before</t>
        </is>
      </c>
      <c r="E6" s="36" t="inlineStr">
        <is>
          <t>After</t>
        </is>
      </c>
      <c r="F6" s="36" t="inlineStr">
        <is>
          <t>Effort</t>
        </is>
      </c>
      <c r="G6" s="36" t="inlineStr">
        <is>
          <t>Risk / Guardrail</t>
        </is>
      </c>
      <c r="H6" s="36" t="inlineStr">
        <is>
          <t>Evidence</t>
        </is>
      </c>
      <c r="I6" s="36" t="inlineStr">
        <is>
          <t>Decision · INPUT</t>
        </is>
      </c>
      <c r="J6" s="36" t="inlineStr">
        <is>
          <t>Review Note · INPUT</t>
        </is>
      </c>
    </row>
    <row r="7" ht="54" customHeight="1">
      <c r="A7" s="37" t="inlineStr">
        <is>
          <t>MOT-01</t>
        </is>
      </c>
      <c r="B7" s="37" t="inlineStr">
        <is>
          <t>P0</t>
        </is>
      </c>
      <c r="C7" s="38" t="inlineStr">
        <is>
          <t>Global motion</t>
        </is>
      </c>
      <c r="D7" s="38" t="inlineStr">
        <is>
          <t>Local literal curves and durations; one Reduce Motion check</t>
        </is>
      </c>
      <c r="E7" s="39" t="inlineStr">
        <is>
          <t>GeraldineMotion policy with reduced variants</t>
        </is>
      </c>
      <c r="F7" s="38" t="inlineStr">
        <is>
          <t>M</t>
        </is>
      </c>
      <c r="G7" s="40" t="inlineStr">
        <is>
          <t>Avoid root implicit animation</t>
        </is>
      </c>
      <c r="H7" s="38" t="inlineStr">
        <is>
          <t>Repository-wide animation search</t>
        </is>
      </c>
      <c r="I7" s="41" t="inlineStr">
        <is>
          <t>Review</t>
        </is>
      </c>
      <c r="J7" s="41" t="inlineStr"/>
    </row>
    <row r="8" ht="54" customHeight="1">
      <c r="A8" s="42" t="inlineStr">
        <is>
          <t>MOT-02</t>
        </is>
      </c>
      <c r="B8" s="42" t="inlineStr">
        <is>
          <t>P0</t>
        </is>
      </c>
      <c r="C8" s="43" t="inlineStr">
        <is>
          <t>Numbers, eye, spinner, gauges, bars</t>
        </is>
      </c>
      <c r="D8" s="43" t="inlineStr">
        <is>
          <t>Always animate</t>
        </is>
      </c>
      <c r="E8" s="39" t="inlineStr">
        <is>
          <t>Designed non-spatial reduced states</t>
        </is>
      </c>
      <c r="F8" s="43" t="inlineStr">
        <is>
          <t>M</t>
        </is>
      </c>
      <c r="G8" s="40" t="inlineStr">
        <is>
          <t>Never delay state</t>
        </is>
      </c>
      <c r="H8" s="43" t="inlineStr">
        <is>
          <t>Components.swift:52-120,248-399; EyeView.swift:78-83</t>
        </is>
      </c>
      <c r="I8" s="41" t="inlineStr">
        <is>
          <t>Review</t>
        </is>
      </c>
      <c r="J8" s="41" t="inlineStr"/>
    </row>
    <row r="9" ht="54" customHeight="1">
      <c r="A9" s="37" t="inlineStr">
        <is>
          <t>MOT-03</t>
        </is>
      </c>
      <c r="B9" s="37" t="inlineStr">
        <is>
          <t>P0</t>
        </is>
      </c>
      <c r="C9" s="38" t="inlineStr">
        <is>
          <t>AppKit menu roll</t>
        </is>
      </c>
      <c r="D9" s="38" t="inlineStr">
        <is>
          <t>Always runs and restarts from last completed plan</t>
        </is>
      </c>
      <c r="E9" s="39" t="inlineStr">
        <is>
          <t>Reduce Motion bypass and current-presentation retarget</t>
        </is>
      </c>
      <c r="F9" s="38" t="inlineStr">
        <is>
          <t>M</t>
        </is>
      </c>
      <c r="G9" s="40" t="inlineStr">
        <is>
          <t>Preserve footprint and paused display link</t>
        </is>
      </c>
      <c r="H9" s="38" t="inlineStr">
        <is>
          <t>MenuBarController.swift:316-429</t>
        </is>
      </c>
      <c r="I9" s="41" t="inlineStr">
        <is>
          <t>Review</t>
        </is>
      </c>
      <c r="J9" s="41" t="inlineStr"/>
    </row>
    <row r="10" ht="54" customHeight="1">
      <c r="A10" s="42" t="inlineStr">
        <is>
          <t>MOT-04</t>
        </is>
      </c>
      <c r="B10" s="42" t="inlineStr">
        <is>
          <t>P0</t>
        </is>
      </c>
      <c r="C10" s="43" t="inlineStr">
        <is>
          <t>Buttons and actionable cards</t>
        </is>
      </c>
      <c r="D10" s="43" t="inlineStr">
        <is>
          <t>Cursor-only or native feedback</t>
        </is>
      </c>
      <c r="E10" s="39" t="inlineStr">
        <is>
          <t>Hover tint/lift, 0.96 press, focus ring</t>
        </is>
      </c>
      <c r="F10" s="43" t="inlineStr">
        <is>
          <t>M</t>
        </is>
      </c>
      <c r="G10" s="40" t="inlineStr">
        <is>
          <t>Static cards remain still</t>
        </is>
      </c>
      <c r="H10" s="43" t="inlineStr">
        <is>
          <t>Components.swift:6-27,406-435</t>
        </is>
      </c>
      <c r="I10" s="41" t="inlineStr">
        <is>
          <t>Review</t>
        </is>
      </c>
      <c r="J10" s="41" t="inlineStr"/>
    </row>
    <row r="11" ht="54" customHeight="1">
      <c r="A11" s="37" t="inlineStr">
        <is>
          <t>MOT-05</t>
        </is>
      </c>
      <c r="B11" s="37" t="inlineStr">
        <is>
          <t>P0</t>
        </is>
      </c>
      <c r="C11" s="38" t="inlineStr">
        <is>
          <t>Treemap and widget reorder accessibility</t>
        </is>
      </c>
      <c r="D11" s="38" t="inlineStr">
        <is>
          <t>Tap/drag pointer paths</t>
        </is>
      </c>
      <c r="E11" s="39" t="inlineStr">
        <is>
          <t>True buttons and accessible move actions</t>
        </is>
      </c>
      <c r="F11" s="38" t="inlineStr">
        <is>
          <t>M</t>
        </is>
      </c>
      <c r="G11" s="40" t="inlineStr">
        <is>
          <t>Motion cannot be sole cue</t>
        </is>
      </c>
      <c r="H11" s="38" t="inlineStr">
        <is>
          <t>SpaceLensView.swift:65-82; MetricWidgets.swift:186-216</t>
        </is>
      </c>
      <c r="I11" s="41" t="inlineStr">
        <is>
          <t>Review</t>
        </is>
      </c>
      <c r="J11" s="41" t="inlineStr"/>
    </row>
    <row r="12" ht="54" customHeight="1">
      <c r="A12" s="42" t="inlineStr">
        <is>
          <t>MOT-06</t>
        </is>
      </c>
      <c r="B12" s="42" t="inlineStr">
        <is>
          <t>P1</t>
        </is>
      </c>
      <c r="C12" s="43" t="inlineStr">
        <is>
          <t>Module navigation</t>
        </is>
      </c>
      <c r="D12" s="43" t="inlineStr">
        <is>
          <t>Instant replacement</t>
        </is>
      </c>
      <c r="E12" s="39" t="inlineStr">
        <is>
          <t>Directional 180–220 ms crossfade and drift</t>
        </is>
      </c>
      <c r="F12" s="43" t="inlineStr">
        <is>
          <t>M</t>
        </is>
      </c>
      <c r="G12" s="40" t="inlineStr">
        <is>
          <t>Rapid-click interruptibility</t>
        </is>
      </c>
      <c r="H12" s="43" t="inlineStr">
        <is>
          <t>RootView.swift:109-137</t>
        </is>
      </c>
      <c r="I12" s="41" t="inlineStr">
        <is>
          <t>Review</t>
        </is>
      </c>
      <c r="J12" s="41" t="inlineStr"/>
    </row>
    <row r="13" ht="54" customHeight="1">
      <c r="A13" s="37" t="inlineStr">
        <is>
          <t>MOT-07</t>
        </is>
      </c>
      <c r="B13" s="37" t="inlineStr">
        <is>
          <t>P1</t>
        </is>
      </c>
      <c r="C13" s="38" t="inlineStr">
        <is>
          <t>Workflow phases</t>
        </is>
      </c>
      <c r="D13" s="38" t="inlineStr">
        <is>
          <t>Abrupt whole-layout branches</t>
        </is>
      </c>
      <c r="E13" s="39" t="inlineStr">
        <is>
          <t>Scoped phase host and icon resolution</t>
        </is>
      </c>
      <c r="F13" s="38" t="inlineStr">
        <is>
          <t>M</t>
        </is>
      </c>
      <c r="G13" s="40" t="inlineStr">
        <is>
          <t>No whole-root implicit animation</t>
        </is>
      </c>
      <c r="H13" s="38" t="inlineStr">
        <is>
          <t>CleanupView.swift; SmartCareView.swift; FreeRAMView.swift</t>
        </is>
      </c>
      <c r="I13" s="41" t="inlineStr">
        <is>
          <t>Review</t>
        </is>
      </c>
      <c r="J13" s="41" t="inlineStr"/>
    </row>
    <row r="14" ht="54" customHeight="1">
      <c r="A14" s="42" t="inlineStr">
        <is>
          <t>MOT-08</t>
        </is>
      </c>
      <c r="B14" s="42" t="inlineStr">
        <is>
          <t>P1</t>
        </is>
      </c>
      <c r="C14" s="43" t="inlineStr">
        <is>
          <t>Smart Care</t>
        </is>
      </c>
      <c r="D14" s="43" t="inlineStr">
        <is>
          <t>Spinner disappears; full result appears</t>
        </is>
      </c>
      <c r="E14" s="39" t="inlineStr">
        <is>
          <t>Seal-to-score morph and bounded stagger</t>
        </is>
      </c>
      <c r="F14" s="43" t="inlineStr">
        <is>
          <t>M</t>
        </is>
      </c>
      <c r="G14" s="40" t="inlineStr">
        <is>
          <t>No long-list delay</t>
        </is>
      </c>
      <c r="H14" s="43" t="inlineStr">
        <is>
          <t>SmartCareView.swift:239-291</t>
        </is>
      </c>
      <c r="I14" s="41" t="inlineStr">
        <is>
          <t>Review</t>
        </is>
      </c>
      <c r="J14" s="41" t="inlineStr"/>
    </row>
    <row r="15" ht="54" customHeight="1">
      <c r="A15" s="37" t="inlineStr">
        <is>
          <t>MOT-09</t>
        </is>
      </c>
      <c r="B15" s="37" t="inlineStr">
        <is>
          <t>P1</t>
        </is>
      </c>
      <c r="C15" s="38" t="inlineStr">
        <is>
          <t>Free RAM</t>
        </is>
      </c>
      <c r="D15" s="38" t="inlineStr">
        <is>
          <t>Ready/working/result snap</t>
        </is>
      </c>
      <c r="E15" s="39" t="inlineStr">
        <is>
          <t>Fixed chip mark with arc and result halo</t>
        </is>
      </c>
      <c r="F15" s="38" t="inlineStr">
        <is>
          <t>S-M</t>
        </is>
      </c>
      <c r="G15" s="40" t="inlineStr">
        <is>
          <t>Truthful completion</t>
        </is>
      </c>
      <c r="H15" s="38" t="inlineStr">
        <is>
          <t>FreeRAMView.swift:21-59</t>
        </is>
      </c>
      <c r="I15" s="41" t="inlineStr">
        <is>
          <t>Review</t>
        </is>
      </c>
      <c r="J15" s="41" t="inlineStr"/>
    </row>
    <row r="16" ht="54" customHeight="1">
      <c r="A16" s="42" t="inlineStr">
        <is>
          <t>MOT-10</t>
        </is>
      </c>
      <c r="B16" s="42" t="inlineStr">
        <is>
          <t>P1</t>
        </is>
      </c>
      <c r="C16" s="43" t="inlineStr">
        <is>
          <t>Widget reflow</t>
        </is>
      </c>
      <c r="D16" s="43" t="inlineStr">
        <is>
          <t>Offset-keyed nested rows and no drop state</t>
        </is>
      </c>
      <c r="E16" s="39" t="inlineStr">
        <is>
          <t>Stable layout, lift, insertion glow, neighbor move</t>
        </is>
      </c>
      <c r="F16" s="43" t="inlineStr">
        <is>
          <t>L</t>
        </is>
      </c>
      <c r="G16" s="40" t="inlineStr">
        <is>
          <t>Stable IDs required</t>
        </is>
      </c>
      <c r="H16" s="43" t="inlineStr">
        <is>
          <t>MetricWidgets.swift:18-245</t>
        </is>
      </c>
      <c r="I16" s="41" t="inlineStr">
        <is>
          <t>Review</t>
        </is>
      </c>
      <c r="J16" s="41" t="inlineStr"/>
    </row>
    <row r="17" ht="54" customHeight="1">
      <c r="A17" s="37" t="inlineStr">
        <is>
          <t>MOT-11</t>
        </is>
      </c>
      <c r="B17" s="37" t="inlineStr">
        <is>
          <t>P1</t>
        </is>
      </c>
      <c r="C17" s="38" t="inlineStr">
        <is>
          <t>Widget contextual icons</t>
        </is>
      </c>
      <c r="D17" s="38" t="inlineStr">
        <is>
          <t>Abrupt icon swaps</t>
        </is>
      </c>
      <c r="E17" s="39" t="inlineStr">
        <is>
          <t>Opacity, scale .25 to 1, blur 4 to 0, zero bounce</t>
        </is>
      </c>
      <c r="F17" s="38" t="inlineStr">
        <is>
          <t>S-M</t>
        </is>
      </c>
      <c r="G17" s="40" t="inlineStr">
        <is>
          <t>Avoid height drift</t>
        </is>
      </c>
      <c r="H17" s="38" t="inlineStr">
        <is>
          <t>MetricWidgets.swift:73-216</t>
        </is>
      </c>
      <c r="I17" s="41" t="inlineStr">
        <is>
          <t>Review</t>
        </is>
      </c>
      <c r="J17" s="41" t="inlineStr"/>
    </row>
    <row r="18" ht="54" customHeight="1">
      <c r="A18" s="42" t="inlineStr">
        <is>
          <t>MOT-12</t>
        </is>
      </c>
      <c r="B18" s="42" t="inlineStr">
        <is>
          <t>P1</t>
        </is>
      </c>
      <c r="C18" s="43" t="inlineStr">
        <is>
          <t>Keep Awake state</t>
        </is>
      </c>
      <c r="D18" s="43" t="inlineStr">
        <is>
          <t>Separate idle/active branches</t>
        </is>
      </c>
      <c r="E18" s="39" t="inlineStr">
        <is>
          <t>Eye-to-halo spatial morph and contextual Start/Stop</t>
        </is>
      </c>
      <c r="F18" s="43" t="inlineStr">
        <is>
          <t>M-L</t>
        </is>
      </c>
      <c r="G18" s="40" t="inlineStr">
        <is>
          <t>Immediate countdown and reversible state</t>
        </is>
      </c>
      <c r="H18" s="43" t="inlineStr">
        <is>
          <t>KeepAwakeWidget.swift:20-209; KeepAwakeView.swift:39-82</t>
        </is>
      </c>
      <c r="I18" s="41" t="inlineStr">
        <is>
          <t>Review</t>
        </is>
      </c>
      <c r="J18" s="41" t="inlineStr"/>
    </row>
    <row r="19" ht="54" customHeight="1">
      <c r="A19" s="37" t="inlineStr">
        <is>
          <t>MOT-13</t>
        </is>
      </c>
      <c r="B19" s="37" t="inlineStr">
        <is>
          <t>P2</t>
        </is>
      </c>
      <c r="C19" s="38" t="inlineStr">
        <is>
          <t>Eye poke</t>
        </is>
      </c>
      <c r="D19" s="38" t="inlineStr">
        <is>
          <t>Cursor-only until activation</t>
        </is>
      </c>
      <c r="E19" s="39" t="inlineStr">
        <is>
          <t>Pupil contraction and catchlight shift on press</t>
        </is>
      </c>
      <c r="F19" s="38" t="inlineStr">
        <is>
          <t>M</t>
        </is>
      </c>
      <c r="G19" s="40" t="inlineStr">
        <is>
          <t>No cartoon bounce</t>
        </is>
      </c>
      <c r="H19" s="38" t="inlineStr">
        <is>
          <t>KeepAwakeView.swift:41-54; KeepAwakeWidget.swift:395-405</t>
        </is>
      </c>
      <c r="I19" s="41" t="inlineStr">
        <is>
          <t>Review</t>
        </is>
      </c>
      <c r="J19" s="41" t="inlineStr"/>
    </row>
    <row r="20" ht="54" customHeight="1">
      <c r="A20" s="42" t="inlineStr">
        <is>
          <t>MOT-14</t>
        </is>
      </c>
      <c r="B20" s="42" t="inlineStr">
        <is>
          <t>P1</t>
        </is>
      </c>
      <c r="C20" s="43" t="inlineStr">
        <is>
          <t>Calendar months</t>
        </is>
      </c>
      <c r="D20" s="43" t="inlineStr">
        <is>
          <t>Generic animation without direction</t>
        </is>
      </c>
      <c r="E20" s="39" t="inlineStr">
        <is>
          <t>Directional clipped month paging</t>
        </is>
      </c>
      <c r="F20" s="43" t="inlineStr">
        <is>
          <t>M</t>
        </is>
      </c>
      <c r="G20" s="40" t="inlineStr">
        <is>
          <t>Rapid-click retarget</t>
        </is>
      </c>
      <c r="H20" s="43" t="inlineStr">
        <is>
          <t>CalendarPopover.swift:28-127</t>
        </is>
      </c>
      <c r="I20" s="41" t="inlineStr">
        <is>
          <t>Review</t>
        </is>
      </c>
      <c r="J20" s="41" t="inlineStr"/>
    </row>
    <row r="21" ht="54" customHeight="1">
      <c r="A21" s="37" t="inlineStr">
        <is>
          <t>MOT-15</t>
        </is>
      </c>
      <c r="B21" s="37" t="inlineStr">
        <is>
          <t>P2</t>
        </is>
      </c>
      <c r="C21" s="38" t="inlineStr">
        <is>
          <t>Calendar time travel</t>
        </is>
      </c>
      <c r="D21" s="38" t="inlineStr">
        <is>
          <t>Time and symbols snap</t>
        </is>
      </c>
      <c r="E21" s="39" t="inlineStr">
        <is>
          <t>Direct slider with token and icon replacement</t>
        </is>
      </c>
      <c r="F21" s="38" t="inlineStr">
        <is>
          <t>S-M</t>
        </is>
      </c>
      <c r="G21" s="40" t="inlineStr">
        <is>
          <t>Never ease slider binding</t>
        </is>
      </c>
      <c r="H21" s="38" t="inlineStr">
        <is>
          <t>CalendarPopover.swift:204-334</t>
        </is>
      </c>
      <c r="I21" s="41" t="inlineStr">
        <is>
          <t>Review</t>
        </is>
      </c>
      <c r="J21" s="41" t="inlineStr"/>
    </row>
    <row r="22" ht="54" customHeight="1">
      <c r="A22" s="42" t="inlineStr">
        <is>
          <t>MOT-16</t>
        </is>
      </c>
      <c r="B22" s="42" t="inlineStr">
        <is>
          <t>P1</t>
        </is>
      </c>
      <c r="C22" s="43" t="inlineStr">
        <is>
          <t>Live charts</t>
        </is>
      </c>
      <c r="D22" s="43" t="inlineStr">
        <is>
          <t>Lines jump once per sample</t>
        </is>
      </c>
      <c r="E22" s="39" t="inlineStr">
        <is>
          <t>Newest-segment append tween and subtle head glow</t>
        </is>
      </c>
      <c r="F22" s="43" t="inlineStr">
        <is>
          <t>L</t>
        </is>
      </c>
      <c r="G22" s="40" t="inlineStr">
        <is>
          <t>No blanket 60 fps arrays</t>
        </is>
      </c>
      <c r="H22" s="43" t="inlineStr">
        <is>
          <t>Charts.swift:27-217; SystemMonitor.swift:75-155</t>
        </is>
      </c>
      <c r="I22" s="41" t="inlineStr">
        <is>
          <t>Review</t>
        </is>
      </c>
      <c r="J22" s="41" t="inlineStr"/>
    </row>
    <row r="23" ht="54" customHeight="1">
      <c r="A23" s="37" t="inlineStr">
        <is>
          <t>MOT-17</t>
        </is>
      </c>
      <c r="B23" s="37" t="inlineStr">
        <is>
          <t>P1</t>
        </is>
      </c>
      <c r="C23" s="38" t="inlineStr">
        <is>
          <t>Large chart inspection</t>
        </is>
      </c>
      <c r="D23" s="38" t="inlineStr">
        <is>
          <t>No hover inspection</t>
        </is>
      </c>
      <c r="E23" s="39" t="inlineStr">
        <is>
          <t>Crosshair, value bubble, collecting-to-live reveal</t>
        </is>
      </c>
      <c r="F23" s="38" t="inlineStr">
        <is>
          <t>L</t>
        </is>
      </c>
      <c r="G23" s="40" t="inlineStr">
        <is>
          <t>Keep tiny sparklines noninteractive</t>
        </is>
      </c>
      <c r="H23" s="38" t="inlineStr">
        <is>
          <t>Dashboard, Activity, Battery, Network chart call sites</t>
        </is>
      </c>
      <c r="I23" s="41" t="inlineStr">
        <is>
          <t>Review</t>
        </is>
      </c>
      <c r="J23" s="41" t="inlineStr"/>
    </row>
    <row r="24" ht="54" customHeight="1">
      <c r="A24" s="42" t="inlineStr">
        <is>
          <t>MOT-18</t>
        </is>
      </c>
      <c r="B24" s="42" t="inlineStr">
        <is>
          <t>P1</t>
        </is>
      </c>
      <c r="C24" s="43" t="inlineStr">
        <is>
          <t>Measurement formatting</t>
        </is>
      </c>
      <c r="D24" s="43" t="inlineStr">
        <is>
          <t>Unit changes can snap during digit roll</t>
        </is>
      </c>
      <c r="E24" s="39" t="inlineStr">
        <is>
          <t>Separate digit and unit-token transitions</t>
        </is>
      </c>
      <c r="F24" s="43" t="inlineStr">
        <is>
          <t>M-L</t>
        </is>
      </c>
      <c r="G24" s="40" t="inlineStr">
        <is>
          <t>Preserve width and accessibility</t>
        </is>
      </c>
      <c r="H24" s="43" t="inlineStr">
        <is>
          <t>Components.swift:52-244</t>
        </is>
      </c>
      <c r="I24" s="41" t="inlineStr">
        <is>
          <t>Review</t>
        </is>
      </c>
      <c r="J24" s="41" t="inlineStr"/>
    </row>
    <row r="25" ht="54" customHeight="1">
      <c r="A25" s="37" t="inlineStr">
        <is>
          <t>MOT-19</t>
        </is>
      </c>
      <c r="B25" s="37" t="inlineStr">
        <is>
          <t>P1</t>
        </is>
      </c>
      <c r="C25" s="38" t="inlineStr">
        <is>
          <t>Selection totals and queue</t>
        </is>
      </c>
      <c r="D25" s="38" t="inlineStr">
        <is>
          <t>Icons, totals, buttons, cards snap</t>
        </is>
      </c>
      <c r="E25" s="39" t="inlineStr">
        <is>
          <t>Contextual icons, rolling totals, clipped queue insert</t>
        </is>
      </c>
      <c r="F25" s="38" t="inlineStr">
        <is>
          <t>M</t>
        </is>
      </c>
      <c r="G25" s="40" t="inlineStr">
        <is>
          <t>No per-row Select All explosion</t>
        </is>
      </c>
      <c r="H25" s="38" t="inlineStr">
        <is>
          <t>ScanResultsView.swift:42-103; SmartCareView.swift:348-425</t>
        </is>
      </c>
      <c r="I25" s="41" t="inlineStr">
        <is>
          <t>Review</t>
        </is>
      </c>
      <c r="J25" s="41" t="inlineStr"/>
    </row>
    <row r="26" ht="54" customHeight="1">
      <c r="A26" s="42" t="inlineStr">
        <is>
          <t>MOT-20</t>
        </is>
      </c>
      <c r="B26" s="42" t="inlineStr">
        <is>
          <t>P2</t>
        </is>
      </c>
      <c r="C26" s="43" t="inlineStr">
        <is>
          <t>Popover internal reveal</t>
        </is>
      </c>
      <c r="D26" s="43" t="inlineStr">
        <is>
          <t>Native shell with independent content settling</t>
        </is>
      </c>
      <c r="E26" s="39" t="inlineStr">
        <is>
          <t>Keep native shell; reveal two or three groups</t>
        </is>
      </c>
      <c r="F26" s="43" t="inlineStr">
        <is>
          <t>M</t>
        </is>
      </c>
      <c r="G26" s="40" t="inlineStr">
        <is>
          <t>Anchor must not drift</t>
        </is>
      </c>
      <c r="H26" s="43" t="inlineStr">
        <is>
          <t>MenuBarController.swift:34-49; MenuBarView.swift:7-29</t>
        </is>
      </c>
      <c r="I26" s="41" t="inlineStr">
        <is>
          <t>Review</t>
        </is>
      </c>
      <c r="J26" s="41" t="inlineStr"/>
    </row>
    <row r="27" ht="54" customHeight="1">
      <c r="A27" s="37" t="inlineStr">
        <is>
          <t>MOT-21</t>
        </is>
      </c>
      <c r="B27" s="37" t="inlineStr">
        <is>
          <t>P1</t>
        </is>
      </c>
      <c r="C27" s="38" t="inlineStr">
        <is>
          <t>Stateful Run and Update actions</t>
        </is>
      </c>
      <c r="D27" s="38" t="inlineStr">
        <is>
          <t>Spinner, Done, Retry, and errors change size</t>
        </is>
      </c>
      <c r="E27" s="39" t="inlineStr">
        <is>
          <t>Fixed-width state control and nearby result transition</t>
        </is>
      </c>
      <c r="F27" s="38" t="inlineStr">
        <is>
          <t>M</t>
        </is>
      </c>
      <c r="G27" s="40" t="inlineStr">
        <is>
          <t>Feedback follows actual command</t>
        </is>
      </c>
      <c r="H27" s="38" t="inlineStr">
        <is>
          <t>MaintenanceView.swift:93-100; UpdaterView.swift:105-143</t>
        </is>
      </c>
      <c r="I27" s="41" t="inlineStr">
        <is>
          <t>Review</t>
        </is>
      </c>
      <c r="J27" s="41" t="inlineStr"/>
    </row>
    <row r="28" ht="54" customHeight="1">
      <c r="A28" s="42" t="inlineStr">
        <is>
          <t>MOT-22</t>
        </is>
      </c>
      <c r="B28" s="42" t="inlineStr">
        <is>
          <t>P2</t>
        </is>
      </c>
      <c r="C28" s="43" t="inlineStr">
        <is>
          <t>Battery charging and range</t>
        </is>
      </c>
      <c r="D28" s="43" t="inlineStr">
        <is>
          <t>Fill animates; bolt/status/range snap</t>
        </is>
      </c>
      <c r="E28" s="39" t="inlineStr">
        <is>
          <t>One-shot plug halo and stable-axis range crossfade</t>
        </is>
      </c>
      <c r="F28" s="43" t="inlineStr">
        <is>
          <t>M</t>
        </is>
      </c>
      <c r="G28" s="40" t="inlineStr">
        <is>
          <t>No endless shimmer</t>
        </is>
      </c>
      <c r="H28" s="43" t="inlineStr">
        <is>
          <t>BatteryView.swift:41-61,112-143,258-374</t>
        </is>
      </c>
      <c r="I28" s="41" t="inlineStr">
        <is>
          <t>Review</t>
        </is>
      </c>
      <c r="J28" s="41" t="inlineStr"/>
    </row>
    <row r="29" ht="54" customHeight="1">
      <c r="A29" s="37" t="inlineStr">
        <is>
          <t>MOT-23</t>
        </is>
      </c>
      <c r="B29" s="37" t="inlineStr">
        <is>
          <t>P1</t>
        </is>
      </c>
      <c r="C29" s="38" t="inlineStr">
        <is>
          <t>Space Lens zoom</t>
        </is>
      </c>
      <c r="D29" s="38" t="inlineStr">
        <is>
          <t>Map clears and UUID cells reappear</t>
        </is>
      </c>
      <c r="E29" s="39" t="inlineStr">
        <is>
          <t>Stable IDs and reversible selected-folder expansion</t>
        </is>
      </c>
      <c r="F29" s="38" t="inlineStr">
        <is>
          <t>L</t>
        </is>
      </c>
      <c r="G29" s="40" t="inlineStr">
        <is>
          <t>Highest visual and implementation risk</t>
        </is>
      </c>
      <c r="H29" s="38" t="inlineStr">
        <is>
          <t>SpaceLensView.swift:58-100,196-236</t>
        </is>
      </c>
      <c r="I29" s="41" t="inlineStr">
        <is>
          <t>Review</t>
        </is>
      </c>
      <c r="J29" s="41" t="inlineStr"/>
    </row>
    <row r="30" ht="54" customHeight="1">
      <c r="A30" s="42" t="inlineStr">
        <is>
          <t>MOT-24</t>
        </is>
      </c>
      <c r="B30" s="42" t="inlineStr">
        <is>
          <t>P2</t>
        </is>
      </c>
      <c r="C30" s="43" t="inlineStr">
        <is>
          <t>Permission and tool status</t>
        </is>
      </c>
      <c r="D30" s="43" t="inlineStr">
        <is>
          <t>Readiness/result appears abruptly</t>
        </is>
      </c>
      <c r="E30" s="39" t="inlineStr">
        <is>
          <t>Localized status wash and symbol replacement</t>
        </is>
      </c>
      <c r="F30" s="43" t="inlineStr">
        <is>
          <t>M</t>
        </is>
      </c>
      <c r="G30" s="40" t="inlineStr">
        <is>
          <t>Confirm, do not nag</t>
        </is>
      </c>
      <c r="H30" s="43" t="inlineStr">
        <is>
          <t>PowerToolsView.swift:203-228; PermissionsView.swift</t>
        </is>
      </c>
      <c r="I30" s="41" t="inlineStr">
        <is>
          <t>Review</t>
        </is>
      </c>
      <c r="J30" s="41" t="inlineStr"/>
    </row>
    <row r="31" ht="54" customHeight="1">
      <c r="A31" s="37" t="inlineStr">
        <is>
          <t>MOT-25</t>
        </is>
      </c>
      <c r="B31" s="37" t="inlineStr">
        <is>
          <t>P2</t>
        </is>
      </c>
      <c r="C31" s="38" t="inlineStr">
        <is>
          <t>Sheet internals</t>
        </is>
      </c>
      <c r="D31" s="38" t="inlineStr">
        <is>
          <t>Native presentation with snapping internal phases</t>
        </is>
      </c>
      <c r="E31" s="39" t="inlineStr">
        <is>
          <t>Preserve system sheet; add content continuity</t>
        </is>
      </c>
      <c r="F31" s="38" t="inlineStr">
        <is>
          <t>S-M</t>
        </is>
      </c>
      <c r="G31" s="40" t="inlineStr">
        <is>
          <t>Do not fight native shell</t>
        </is>
      </c>
      <c r="H31" s="38" t="inlineStr">
        <is>
          <t>Dashboard, Uninstaller, Calendar, onboarding sheet paths</t>
        </is>
      </c>
      <c r="I31" s="41" t="inlineStr">
        <is>
          <t>Review</t>
        </is>
      </c>
      <c r="J31" s="41" t="inlineStr"/>
    </row>
  </sheetData>
  <mergeCells count="3">
    <mergeCell ref="A1:J1"/>
    <mergeCell ref="A3:J3"/>
    <mergeCell ref="A2:J2"/>
  </mergeCells>
  <conditionalFormatting sqref="B7:B31">
    <cfRule type="expression" priority="1" dxfId="0">
      <formula>$B7="P0"</formula>
    </cfRule>
    <cfRule type="expression" priority="2" dxfId="1">
      <formula>$B7="P1"</formula>
    </cfRule>
    <cfRule type="expression" priority="3" dxfId="2">
      <formula>$B7="P2"</formula>
    </cfRule>
  </conditionalFormatting>
  <conditionalFormatting sqref="I7:I31">
    <cfRule type="expression" priority="4" dxfId="1">
      <formula>$I7="Review"</formula>
    </cfRule>
    <cfRule type="expression" priority="5" dxfId="3">
      <formula>$I7="Approve"</formula>
    </cfRule>
    <cfRule type="expression" priority="6" dxfId="4">
      <formula>$I7="Defer"</formula>
    </cfRule>
    <cfRule type="expression" priority="7" dxfId="0">
      <formula>$I7="Reject"</formula>
    </cfRule>
  </conditionalFormatting>
  <dataValidations count="1">
    <dataValidation sqref="I7:I31" showDropDown="0" showInputMessage="1" showErrorMessage="1" allowBlank="0" errorTitle="Choose a listed status" error="Use the dropdown to keep review status consistent." promptTitle="Review decision" prompt="Choose Review, Approve, Defer, or Reject." type="list" errorStyle="stop">
      <formula1>"Review,Approve,Defer,Reject"</formula1>
    </dataValidation>
  </dataValidations>
  <hyperlinks>
    <hyperlink xmlns:r="http://schemas.openxmlformats.org/officeDocument/2006/relationships" ref="A4" r:id="rId1"/>
    <hyperlink xmlns:r="http://schemas.openxmlformats.org/officeDocument/2006/relationships" ref="C4" r:id="rId2"/>
    <hyperlink xmlns:r="http://schemas.openxmlformats.org/officeDocument/2006/relationships" ref="E4" r:id="rId3"/>
    <hyperlink xmlns:r="http://schemas.openxmlformats.org/officeDocument/2006/relationships" ref="G4" r:id="rId4"/>
    <hyperlink xmlns:r="http://schemas.openxmlformats.org/officeDocument/2006/relationships" ref="I4" r:id="rId5"/>
  </hyperlinks>
  <pageMargins left="0.25" right="0.25" top="0.4" bottom="0.4" header="0.5" footer="0.5"/>
  <pageSetup fitToHeight="0" fitToWidth="1"/>
  <headerFooter>
    <oddHeader>&amp;C&amp;9 &amp;K667085Geraldine Visual Audit</oddHeader>
    <oddFooter>&amp;LRead-only audit · no app code changed&amp;RPage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6"/>
  </tableParts>
</worksheet>
</file>

<file path=xl/worksheets/sheet5.xml><?xml version="1.0" encoding="utf-8"?>
<worksheet xmlns="http://schemas.openxmlformats.org/spreadsheetml/2006/main">
  <sheetPr>
    <tabColor rgb="007A3E8E"/>
    <outlinePr summaryBelow="1" summaryRight="1"/>
    <pageSetUpPr fitToPage="1"/>
  </sheetPr>
  <dimension ref="A1:G12"/>
  <sheetViews>
    <sheetView showGridLines="0" zoomScale="90" workbookViewId="0">
      <pane ySplit="6" topLeftCell="A7" activePane="bottomLeft" state="frozen"/>
      <selection pane="bottomLeft" activeCell="A1" sqref="A1"/>
    </sheetView>
  </sheetViews>
  <sheetFormatPr baseColWidth="8" defaultRowHeight="15"/>
  <cols>
    <col width="8" customWidth="1" min="1" max="1"/>
    <col width="18" customWidth="1" min="2" max="2"/>
    <col width="56" customWidth="1" min="3" max="3"/>
    <col width="16" customWidth="1" min="4" max="4"/>
    <col width="46" customWidth="1" min="5" max="5"/>
    <col width="13" customWidth="1" min="6" max="6"/>
    <col width="42" customWidth="1" min="7" max="7"/>
  </cols>
  <sheetData>
    <row r="1" ht="6" customHeight="1">
      <c r="A1" s="1" t="n"/>
    </row>
    <row r="2" ht="34" customHeight="1">
      <c r="A2" s="2" t="inlineStr">
        <is>
          <t>Rollout Gates</t>
        </is>
      </c>
    </row>
    <row r="3" ht="28" customHeight="1">
      <c r="A3" s="3" t="inlineStr">
        <is>
          <t>Approve the direction gate by gate before implementation; later gates depend on the foundation and interaction policy</t>
        </is>
      </c>
    </row>
    <row r="4" ht="22" customHeight="1">
      <c r="A4" s="4" t="inlineStr">
        <is>
          <t>Overview</t>
        </is>
      </c>
      <c r="B4" s="5" t="n"/>
      <c r="C4" s="4" t="inlineStr">
        <is>
          <t>Master Backlog</t>
        </is>
      </c>
      <c r="D4" s="5" t="n"/>
      <c r="E4" s="4" t="inlineStr">
        <is>
          <t>Surface Inventory</t>
        </is>
      </c>
      <c r="F4" s="5" t="n"/>
      <c r="G4" s="4" t="inlineStr">
        <is>
          <t>Motion &amp; A11y</t>
        </is>
      </c>
    </row>
    <row r="5" ht="8" customHeight="1"/>
    <row r="6" ht="32" customHeight="1">
      <c r="A6" s="36" t="inlineStr">
        <is>
          <t>Gate</t>
        </is>
      </c>
      <c r="B6" s="36" t="inlineStr">
        <is>
          <t>Name</t>
        </is>
      </c>
      <c r="C6" s="36" t="inlineStr">
        <is>
          <t>Scope</t>
        </is>
      </c>
      <c r="D6" s="36" t="inlineStr">
        <is>
          <t>Depends On</t>
        </is>
      </c>
      <c r="E6" s="36" t="inlineStr">
        <is>
          <t>Success Proof</t>
        </is>
      </c>
      <c r="F6" s="36" t="inlineStr">
        <is>
          <t>Decision · INPUT</t>
        </is>
      </c>
      <c r="G6" s="36" t="inlineStr">
        <is>
          <t>Review Note · INPUT</t>
        </is>
      </c>
    </row>
    <row r="7" ht="64" customHeight="1">
      <c r="A7" s="45" t="inlineStr">
        <is>
          <t>G0</t>
        </is>
      </c>
      <c r="B7" s="38" t="inlineStr">
        <is>
          <t>Foundations</t>
        </is>
      </c>
      <c r="C7" s="38" t="inlineStr">
        <is>
          <t>Semantic tokens, contrast, surface tiers, radius, scaffold, typography, action hierarchy, hover/focus, hit areas, motion and Reduce Motion policy</t>
        </is>
      </c>
      <c r="D7" s="38" t="inlineStr">
        <is>
          <t>None</t>
        </is>
      </c>
      <c r="E7" s="38" t="inlineStr">
        <is>
          <t>Token review, light/dark/contrast matrix, keyboard and Reduce Motion prototype</t>
        </is>
      </c>
      <c r="F7" s="41" t="inlineStr">
        <is>
          <t>Review</t>
        </is>
      </c>
      <c r="G7" s="41" t="inlineStr"/>
    </row>
    <row r="8" ht="64" customHeight="1">
      <c r="A8" s="45" t="inlineStr">
        <is>
          <t>G1</t>
        </is>
      </c>
      <c r="B8" s="43" t="inlineStr">
        <is>
          <t>Shell and continuity</t>
        </is>
      </c>
      <c r="C8" s="43" t="inlineStr">
        <is>
          <t>Sidebar, navigation transition, page heroes, background aura, settings consolidation, app-presence preview</t>
        </is>
      </c>
      <c r="D8" s="43" t="inlineStr">
        <is>
          <t>G0</t>
        </is>
      </c>
      <c r="E8" s="43" t="inlineStr">
        <is>
          <t>Rapid navigation, minimum/large window, keyboard-only and native Settings QA</t>
        </is>
      </c>
      <c r="F8" s="41" t="inlineStr">
        <is>
          <t>Review</t>
        </is>
      </c>
      <c r="G8" s="41" t="inlineStr"/>
    </row>
    <row r="9" ht="64" customHeight="1">
      <c r="A9" s="45" t="inlineStr">
        <is>
          <t>G2</t>
        </is>
      </c>
      <c r="B9" s="38" t="inlineStr">
        <is>
          <t>Shared workflow language</t>
        </is>
      </c>
      <c r="C9" s="38" t="inlineStr">
        <is>
          <t>Phase host, loading-to-result morph, stateful actions, selection grammar, care ledger, dialog return feedback</t>
        </is>
      </c>
      <c r="D9" s="38" t="inlineStr">
        <is>
          <t>G0-G1</t>
        </is>
      </c>
      <c r="E9" s="38" t="inlineStr">
        <is>
          <t>Cleanup, Smart Care, Free RAM, Maintenance, Updater state matrices</t>
        </is>
      </c>
      <c r="F9" s="41" t="inlineStr">
        <is>
          <t>Review</t>
        </is>
      </c>
      <c r="G9" s="41" t="inlineStr"/>
    </row>
    <row r="10" ht="64" customHeight="1">
      <c r="A10" s="45" t="inlineStr">
        <is>
          <t>G3</t>
        </is>
      </c>
      <c r="B10" s="43" t="inlineStr">
        <is>
          <t>Signature surfaces</t>
        </is>
      </c>
      <c r="C10" s="43" t="inlineStr">
        <is>
          <t>Keep Awake eye/state morph, Space Lens spatial zoom, chart language, Calendar, Smart Care score, measurement transitions</t>
        </is>
      </c>
      <c r="D10" s="43" t="inlineStr">
        <is>
          <t>G0-G2</t>
        </is>
      </c>
      <c r="E10" s="43" t="inlineStr">
        <is>
          <t>Runtime motion prototypes, Reduce Motion, interruption tests, Energy Log</t>
        </is>
      </c>
      <c r="F10" s="41" t="inlineStr">
        <is>
          <t>Review</t>
        </is>
      </c>
      <c r="G10" s="41" t="inlineStr"/>
    </row>
    <row r="11" ht="64" customHeight="1">
      <c r="A11" s="45" t="inlineStr">
        <is>
          <t>G4</t>
        </is>
      </c>
      <c r="B11" s="38" t="inlineStr">
        <is>
          <t>Menu-bar polish</t>
        </is>
      </c>
      <c r="C11" s="38" t="inlineStr">
        <is>
          <t>Status-item Reduce Motion/retarget, popover rhythm, widget edit/reorder, network and device states</t>
        </is>
      </c>
      <c r="D11" s="38" t="inlineStr">
        <is>
          <t>G0-G3</t>
        </is>
      </c>
      <c r="E11" s="38" t="inlineStr">
        <is>
          <t>Installed app, notch footprint, anchor, open/close, drag, all metric sizes, hidden-popover energy</t>
        </is>
      </c>
      <c r="F11" s="41" t="inlineStr">
        <is>
          <t>Review</t>
        </is>
      </c>
      <c r="G11" s="41" t="inlineStr"/>
    </row>
    <row r="12" ht="64" customHeight="1">
      <c r="A12" s="45" t="inlineStr">
        <is>
          <t>G5</t>
        </is>
      </c>
      <c r="B12" s="43" t="inlineStr">
        <is>
          <t>Remaining modules and onboarding</t>
        </is>
      </c>
      <c r="C12" s="43" t="inlineStr">
        <is>
          <t>Dashboard hierarchy, Activity, Storage, energy, Calendar settings, Power Tools, scan tools, Login Items, Permissions, native Settings, onboarding</t>
        </is>
      </c>
      <c r="D12" s="43" t="inlineStr">
        <is>
          <t>G0-G4</t>
        </is>
      </c>
      <c r="E12" s="43" t="inlineStr">
        <is>
          <t>Every inventory state captured at target sizes plus accessibility matrix</t>
        </is>
      </c>
      <c r="F12" s="41" t="inlineStr">
        <is>
          <t>Review</t>
        </is>
      </c>
      <c r="G12" s="41" t="inlineStr"/>
    </row>
  </sheetData>
  <mergeCells count="3">
    <mergeCell ref="A3:G3"/>
    <mergeCell ref="A2:G2"/>
    <mergeCell ref="A1:G1"/>
  </mergeCells>
  <conditionalFormatting sqref="F7:F12">
    <cfRule type="expression" priority="1" dxfId="1">
      <formula>$F7="Review"</formula>
    </cfRule>
    <cfRule type="expression" priority="2" dxfId="3">
      <formula>$F7="Approve"</formula>
    </cfRule>
    <cfRule type="expression" priority="3" dxfId="4">
      <formula>$F7="Defer"</formula>
    </cfRule>
    <cfRule type="expression" priority="4" dxfId="0">
      <formula>$F7="Reject"</formula>
    </cfRule>
  </conditionalFormatting>
  <dataValidations count="1">
    <dataValidation sqref="F7:F12" showDropDown="0" showInputMessage="1" showErrorMessage="1" allowBlank="0" errorTitle="Choose a listed status" error="Use the dropdown to keep review status consistent." promptTitle="Review decision" prompt="Choose Review, Approve, Defer, or Reject." type="list" errorStyle="stop">
      <formula1>"Review,Approve,Defer,Reject"</formula1>
    </dataValidation>
  </dataValidations>
  <hyperlinks>
    <hyperlink xmlns:r="http://schemas.openxmlformats.org/officeDocument/2006/relationships" ref="A4" r:id="rId1"/>
    <hyperlink xmlns:r="http://schemas.openxmlformats.org/officeDocument/2006/relationships" ref="C4" r:id="rId2"/>
    <hyperlink xmlns:r="http://schemas.openxmlformats.org/officeDocument/2006/relationships" ref="E4" r:id="rId3"/>
    <hyperlink xmlns:r="http://schemas.openxmlformats.org/officeDocument/2006/relationships" ref="G4" r:id="rId4"/>
  </hyperlinks>
  <pageMargins left="0.25" right="0.25" top="0.4" bottom="0.4" header="0.5" footer="0.5"/>
  <pageSetup fitToHeight="0" fitToWidth="1"/>
  <headerFooter>
    <oddHeader>&amp;C&amp;9 &amp;K667085Geraldine Visual Audit</oddHeader>
    <oddFooter>&amp;LRead-only audit · no app code changed&amp;RPage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Geraldine Visual and Interaction Audit</dc:title>
  <dc:description>Complete read-only sweep of the current working tree and the installed /Applications/Geraldine.app across app shell, 18 modules, onboarding, native Settings, menu-bar surfaces, sheets, dialogs, conditional states, motion, accessibility, and performance.</dc:description>
  <dc:subject>Read-only visual, interaction, motion, and accessibility audit of Geraldine</dc:subject>
  <dcterms:created xsi:type="dcterms:W3CDTF">2026-07-11T12:23:34Z</dcterms:created>
  <dcterms:modified xsi:type="dcterms:W3CDTF">2026-07-11T12:23:35Z</dcterms:modified>
  <cp:lastModifiedBy>Codex</cp:lastModifiedBy>
  <cp:keywords>Geraldine, visual audit, interaction design, motion, accessibility, backlog</cp:keywords>
</cp:coreProperties>
</file>